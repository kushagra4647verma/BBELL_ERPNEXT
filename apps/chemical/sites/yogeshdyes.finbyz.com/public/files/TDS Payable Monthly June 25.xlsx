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Z:\Audit Scrutiny\taxation\TDS\25-26\4.July25\"/>
    </mc:Choice>
  </mc:AlternateContent>
  <xr:revisionPtr revIDLastSave="0" documentId="13_ncr:1_{2F6BAB3E-4E06-4C59-A943-C5F7ACF9E7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J32" i="1"/>
  <c r="I32" i="1"/>
  <c r="H32" i="1"/>
</calcChain>
</file>

<file path=xl/sharedStrings.xml><?xml version="1.0" encoding="utf-8"?>
<sst xmlns="http://schemas.openxmlformats.org/spreadsheetml/2006/main" count="157" uniqueCount="75">
  <si>
    <t>Section Code</t>
  </si>
  <si>
    <t>Pan</t>
  </si>
  <si>
    <t>Supplier</t>
  </si>
  <si>
    <t>Entity Type</t>
  </si>
  <si>
    <t>Supplier Invoice No</t>
  </si>
  <si>
    <t>Total Amount</t>
  </si>
  <si>
    <t>Base Total</t>
  </si>
  <si>
    <t>TDS Amount</t>
  </si>
  <si>
    <t>Grand Total</t>
  </si>
  <si>
    <t>TDS - 194C - Company</t>
  </si>
  <si>
    <t>AAOFD8504E</t>
  </si>
  <si>
    <t>DNS INNOVATION</t>
  </si>
  <si>
    <t>Company</t>
  </si>
  <si>
    <t>G034/2025-26</t>
  </si>
  <si>
    <t>G035/2025-26</t>
  </si>
  <si>
    <t>G036/2025-26</t>
  </si>
  <si>
    <t>AAACB0446L</t>
  </si>
  <si>
    <t>BLUE DART EXPRESS LIMITED</t>
  </si>
  <si>
    <t>2025727R00018990</t>
  </si>
  <si>
    <t>2025727R00018989</t>
  </si>
  <si>
    <t>AAVCS8513N1</t>
  </si>
  <si>
    <t>SAFE ENVIRO PVT LTD</t>
  </si>
  <si>
    <t>RV2425202743</t>
  </si>
  <si>
    <t>RV2425202682</t>
  </si>
  <si>
    <t>RV2425202613</t>
  </si>
  <si>
    <t>RV2425202439</t>
  </si>
  <si>
    <t>TDS - 194C - Individual</t>
  </si>
  <si>
    <t>BIDPP1545B</t>
  </si>
  <si>
    <t>SURAJ DIESEL SERVICE</t>
  </si>
  <si>
    <t>2025-26/TAX/270</t>
  </si>
  <si>
    <t>BPTPG2344Q</t>
  </si>
  <si>
    <t>SHREYA ROADWAYS</t>
  </si>
  <si>
    <t>Individual</t>
  </si>
  <si>
    <t>64/2025-2026</t>
  </si>
  <si>
    <t>AVHPG6157C</t>
  </si>
  <si>
    <t>JAY MATAJI EARTH MOVERS</t>
  </si>
  <si>
    <t>2</t>
  </si>
  <si>
    <t>492025-2026</t>
  </si>
  <si>
    <t>1</t>
  </si>
  <si>
    <t>47/2025-2026</t>
  </si>
  <si>
    <t>1906</t>
  </si>
  <si>
    <t>44/2025-2026</t>
  </si>
  <si>
    <t>FMUPS1202K</t>
  </si>
  <si>
    <t>S S Engineering</t>
  </si>
  <si>
    <t>GST-25/26/12</t>
  </si>
  <si>
    <t>ELAPS2374J</t>
  </si>
  <si>
    <t>New Sahara Crane Service</t>
  </si>
  <si>
    <t>2025-26/078</t>
  </si>
  <si>
    <t>APEPG1427N</t>
  </si>
  <si>
    <t>ANJANI ENTERPRISE</t>
  </si>
  <si>
    <t>2025-2026/08</t>
  </si>
  <si>
    <t>2025-2026/07</t>
  </si>
  <si>
    <t>BUFPM1092Q</t>
  </si>
  <si>
    <t>Sudha Enterprises</t>
  </si>
  <si>
    <t>APFPT8745R</t>
  </si>
  <si>
    <t>Durga Enterprise</t>
  </si>
  <si>
    <t>DE-16/2025-2026</t>
  </si>
  <si>
    <t>2025-26/TAX/224</t>
  </si>
  <si>
    <t>TDS - 194I - Rent - Individual</t>
  </si>
  <si>
    <t>BPOPS7388H</t>
  </si>
  <si>
    <t>GHANSHYAMSINH P SINDHA</t>
  </si>
  <si>
    <t>GH-03</t>
  </si>
  <si>
    <t>TDS - 194J - Professional Fees - Company</t>
  </si>
  <si>
    <t>RV2425202599</t>
  </si>
  <si>
    <t>AAFCA3766K</t>
  </si>
  <si>
    <t>ANKLESHWAR RESEARCH &amp; ANALYTICAL INFRASTRUCTURE LTD</t>
  </si>
  <si>
    <t>25-26T/0283</t>
  </si>
  <si>
    <t>25-26/T0270</t>
  </si>
  <si>
    <t>AAACA4345H</t>
  </si>
  <si>
    <t>AROOP ELECTRICAL ENGINEERS PVT LTD</t>
  </si>
  <si>
    <t>AEEPL 25-26/003</t>
  </si>
  <si>
    <t xml:space="preserve">014/2025-26  </t>
  </si>
  <si>
    <t>Total</t>
  </si>
  <si>
    <t>Invoice Date</t>
  </si>
  <si>
    <t>TDS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</si>
</sst>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0" fontId="1" fillId="0" borderId="0" xfId="0" applyFont="1"/>
    <xf numFmtId="0" fontId="4" fillId="0" borderId="1" xfId="0" applyFont="1" applyBorder="1"/>
    <xf numFmtId="14" fontId="4" fillId="0" borderId="1" xfId="0" applyNumberFormat="1" applyFont="1" applyBorder="1"/>
    <xf numFmtId="43" fontId="4" fillId="0" borderId="1" xfId="1" applyFont="1" applyBorder="1" applyAlignment="1"/>
    <xf numFmtId="164" fontId="5" fillId="0" borderId="1" xfId="1" applyNumberFormat="1" applyFont="1" applyBorder="1" applyAlignment="1"/>
    <xf numFmtId="43" fontId="0" fillId="0" borderId="0" xfId="1" applyFont="1" applyAlignment="1"/>
    <xf numFmtId="0" fontId="6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2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defaultRowHeight="14.4" x14ac:dyDescent="0.3"/>
  <cols>
    <col min="1" max="1" width="43.6640625" bestFit="1" customWidth="1"/>
    <col min="2" max="2" width="15.5546875" bestFit="1" customWidth="1"/>
    <col min="3" max="3" width="33.6640625" customWidth="1"/>
    <col min="4" max="4" width="13.33203125" bestFit="1" customWidth="1"/>
    <col min="5" max="5" width="21.109375" bestFit="1" customWidth="1"/>
    <col min="6" max="6" width="13.88671875" bestFit="1" customWidth="1"/>
    <col min="7" max="7" width="8.5546875" style="3" bestFit="1" customWidth="1"/>
    <col min="8" max="8" width="16.6640625" style="12" bestFit="1" customWidth="1"/>
    <col min="9" max="9" width="14.21875" style="12" bestFit="1" customWidth="1"/>
    <col min="10" max="10" width="15.6640625" style="12" bestFit="1" customWidth="1"/>
    <col min="11" max="11" width="15.44140625" style="12" bestFit="1" customWidth="1"/>
  </cols>
  <sheetData>
    <row r="2" spans="1:11" s="7" customForma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73</v>
      </c>
      <c r="G2" s="5" t="s">
        <v>74</v>
      </c>
      <c r="H2" s="6" t="s">
        <v>5</v>
      </c>
      <c r="I2" s="6" t="s">
        <v>6</v>
      </c>
      <c r="J2" s="6" t="s">
        <v>7</v>
      </c>
      <c r="K2" s="6" t="s">
        <v>8</v>
      </c>
    </row>
    <row r="3" spans="1:11" x14ac:dyDescent="0.3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9">
        <v>45859</v>
      </c>
      <c r="G3" s="2">
        <v>2</v>
      </c>
      <c r="H3" s="10">
        <v>358762.94</v>
      </c>
      <c r="I3" s="10">
        <v>343561.245</v>
      </c>
      <c r="J3" s="10">
        <v>6865.98</v>
      </c>
      <c r="K3" s="10">
        <v>398536.28</v>
      </c>
    </row>
    <row r="4" spans="1:11" x14ac:dyDescent="0.3">
      <c r="A4" s="8" t="s">
        <v>9</v>
      </c>
      <c r="B4" s="8" t="s">
        <v>10</v>
      </c>
      <c r="C4" s="8" t="s">
        <v>11</v>
      </c>
      <c r="D4" s="8" t="s">
        <v>12</v>
      </c>
      <c r="E4" s="8" t="s">
        <v>14</v>
      </c>
      <c r="F4" s="9">
        <v>45859</v>
      </c>
      <c r="G4" s="2">
        <v>2</v>
      </c>
      <c r="H4" s="10">
        <v>403568.21</v>
      </c>
      <c r="I4" s="10">
        <v>386468.21</v>
      </c>
      <c r="J4" s="10">
        <v>7723.47</v>
      </c>
      <c r="K4" s="10">
        <v>448309.02</v>
      </c>
    </row>
    <row r="5" spans="1:11" x14ac:dyDescent="0.3">
      <c r="A5" s="8" t="s">
        <v>9</v>
      </c>
      <c r="B5" s="8" t="s">
        <v>10</v>
      </c>
      <c r="C5" s="8" t="s">
        <v>11</v>
      </c>
      <c r="D5" s="8" t="s">
        <v>12</v>
      </c>
      <c r="E5" s="8" t="s">
        <v>15</v>
      </c>
      <c r="F5" s="9">
        <v>45859</v>
      </c>
      <c r="G5" s="2">
        <v>2</v>
      </c>
      <c r="H5" s="10">
        <v>67132.39</v>
      </c>
      <c r="I5" s="10">
        <v>64287.474999999999</v>
      </c>
      <c r="J5" s="10">
        <v>1284.77</v>
      </c>
      <c r="K5" s="10">
        <v>74574.460000000006</v>
      </c>
    </row>
    <row r="6" spans="1:11" x14ac:dyDescent="0.3">
      <c r="A6" s="8" t="s">
        <v>9</v>
      </c>
      <c r="B6" s="8" t="s">
        <v>16</v>
      </c>
      <c r="C6" s="8" t="s">
        <v>17</v>
      </c>
      <c r="D6" s="8" t="s">
        <v>12</v>
      </c>
      <c r="E6" s="8" t="s">
        <v>18</v>
      </c>
      <c r="F6" s="9">
        <v>45869</v>
      </c>
      <c r="G6" s="2">
        <v>2</v>
      </c>
      <c r="H6" s="10">
        <v>5313.68</v>
      </c>
      <c r="I6" s="10">
        <v>5313.68</v>
      </c>
      <c r="J6" s="10">
        <v>106.27</v>
      </c>
      <c r="K6" s="10">
        <v>6163.87</v>
      </c>
    </row>
    <row r="7" spans="1:11" x14ac:dyDescent="0.3">
      <c r="A7" s="8" t="s">
        <v>9</v>
      </c>
      <c r="B7" s="8" t="s">
        <v>16</v>
      </c>
      <c r="C7" s="8" t="s">
        <v>17</v>
      </c>
      <c r="D7" s="8" t="s">
        <v>12</v>
      </c>
      <c r="E7" s="8" t="s">
        <v>19</v>
      </c>
      <c r="F7" s="9">
        <v>45869</v>
      </c>
      <c r="G7" s="2">
        <v>2</v>
      </c>
      <c r="H7" s="10">
        <v>4012.2</v>
      </c>
      <c r="I7" s="10">
        <v>4012.2</v>
      </c>
      <c r="J7" s="10">
        <v>80.239999999999995</v>
      </c>
      <c r="K7" s="10">
        <v>4654.16</v>
      </c>
    </row>
    <row r="8" spans="1:11" x14ac:dyDescent="0.3">
      <c r="A8" s="8" t="s">
        <v>9</v>
      </c>
      <c r="B8" s="8" t="s">
        <v>20</v>
      </c>
      <c r="C8" s="8" t="s">
        <v>21</v>
      </c>
      <c r="D8" s="8" t="s">
        <v>12</v>
      </c>
      <c r="E8" s="8" t="s">
        <v>22</v>
      </c>
      <c r="F8" s="9">
        <v>45863</v>
      </c>
      <c r="G8" s="2">
        <v>2</v>
      </c>
      <c r="H8" s="10">
        <v>150345</v>
      </c>
      <c r="I8" s="10">
        <v>150345</v>
      </c>
      <c r="J8" s="10">
        <v>3006.9</v>
      </c>
      <c r="K8" s="10">
        <v>174400.2</v>
      </c>
    </row>
    <row r="9" spans="1:11" x14ac:dyDescent="0.3">
      <c r="A9" s="8" t="s">
        <v>9</v>
      </c>
      <c r="B9" s="8" t="s">
        <v>20</v>
      </c>
      <c r="C9" s="8" t="s">
        <v>21</v>
      </c>
      <c r="D9" s="8" t="s">
        <v>12</v>
      </c>
      <c r="E9" s="8" t="s">
        <v>23</v>
      </c>
      <c r="F9" s="9">
        <v>45861</v>
      </c>
      <c r="G9" s="2">
        <v>2</v>
      </c>
      <c r="H9" s="10">
        <v>129285</v>
      </c>
      <c r="I9" s="10">
        <v>129285</v>
      </c>
      <c r="J9" s="10">
        <v>2585.6999999999998</v>
      </c>
      <c r="K9" s="10">
        <v>149970.6</v>
      </c>
    </row>
    <row r="10" spans="1:11" x14ac:dyDescent="0.3">
      <c r="A10" s="8" t="s">
        <v>9</v>
      </c>
      <c r="B10" s="8" t="s">
        <v>20</v>
      </c>
      <c r="C10" s="8" t="s">
        <v>21</v>
      </c>
      <c r="D10" s="8" t="s">
        <v>12</v>
      </c>
      <c r="E10" s="8" t="s">
        <v>24</v>
      </c>
      <c r="F10" s="9">
        <v>45859</v>
      </c>
      <c r="G10" s="2">
        <v>2</v>
      </c>
      <c r="H10" s="10">
        <v>137124</v>
      </c>
      <c r="I10" s="10">
        <v>137124</v>
      </c>
      <c r="J10" s="10">
        <v>2742.48</v>
      </c>
      <c r="K10" s="10">
        <v>159063.84</v>
      </c>
    </row>
    <row r="11" spans="1:11" x14ac:dyDescent="0.3">
      <c r="A11" s="8" t="s">
        <v>9</v>
      </c>
      <c r="B11" s="8" t="s">
        <v>20</v>
      </c>
      <c r="C11" s="8" t="s">
        <v>21</v>
      </c>
      <c r="D11" s="8" t="s">
        <v>12</v>
      </c>
      <c r="E11" s="8" t="s">
        <v>25</v>
      </c>
      <c r="F11" s="9">
        <v>45848</v>
      </c>
      <c r="G11" s="2">
        <v>2</v>
      </c>
      <c r="H11" s="10">
        <v>97636.5</v>
      </c>
      <c r="I11" s="10">
        <v>97636.5</v>
      </c>
      <c r="J11" s="10">
        <v>1952.73</v>
      </c>
      <c r="K11" s="10">
        <v>113258.33</v>
      </c>
    </row>
    <row r="12" spans="1:11" x14ac:dyDescent="0.3">
      <c r="A12" s="8" t="s">
        <v>26</v>
      </c>
      <c r="B12" s="8" t="s">
        <v>27</v>
      </c>
      <c r="C12" s="8" t="s">
        <v>28</v>
      </c>
      <c r="D12" s="8" t="s">
        <v>12</v>
      </c>
      <c r="E12" s="8" t="s">
        <v>29</v>
      </c>
      <c r="F12" s="9">
        <v>45854</v>
      </c>
      <c r="G12" s="2">
        <v>1</v>
      </c>
      <c r="H12" s="10">
        <v>74000</v>
      </c>
      <c r="I12" s="10">
        <v>4500</v>
      </c>
      <c r="J12" s="10">
        <v>45</v>
      </c>
      <c r="K12" s="10">
        <v>87275</v>
      </c>
    </row>
    <row r="13" spans="1:11" x14ac:dyDescent="0.3">
      <c r="A13" s="8" t="s">
        <v>26</v>
      </c>
      <c r="B13" s="8" t="s">
        <v>30</v>
      </c>
      <c r="C13" s="8" t="s">
        <v>31</v>
      </c>
      <c r="D13" s="8" t="s">
        <v>32</v>
      </c>
      <c r="E13" s="8" t="s">
        <v>33</v>
      </c>
      <c r="F13" s="9">
        <v>45866</v>
      </c>
      <c r="G13" s="2">
        <v>1</v>
      </c>
      <c r="H13" s="10">
        <v>71110</v>
      </c>
      <c r="I13" s="10">
        <v>71110</v>
      </c>
      <c r="J13" s="10">
        <v>711.1</v>
      </c>
      <c r="K13" s="10">
        <v>78932.100000000006</v>
      </c>
    </row>
    <row r="14" spans="1:11" x14ac:dyDescent="0.3">
      <c r="A14" s="8" t="s">
        <v>26</v>
      </c>
      <c r="B14" s="8" t="s">
        <v>34</v>
      </c>
      <c r="C14" s="8" t="s">
        <v>35</v>
      </c>
      <c r="D14" s="8" t="s">
        <v>32</v>
      </c>
      <c r="E14" s="8" t="s">
        <v>36</v>
      </c>
      <c r="F14" s="9">
        <v>45863</v>
      </c>
      <c r="G14" s="2">
        <v>1</v>
      </c>
      <c r="H14" s="10">
        <v>4950</v>
      </c>
      <c r="I14" s="10">
        <v>4950</v>
      </c>
      <c r="J14" s="10">
        <v>49.5</v>
      </c>
      <c r="K14" s="10">
        <v>4900.5</v>
      </c>
    </row>
    <row r="15" spans="1:11" x14ac:dyDescent="0.3">
      <c r="A15" s="8" t="s">
        <v>26</v>
      </c>
      <c r="B15" s="8" t="s">
        <v>30</v>
      </c>
      <c r="C15" s="8" t="s">
        <v>31</v>
      </c>
      <c r="D15" s="8" t="s">
        <v>32</v>
      </c>
      <c r="E15" s="8" t="s">
        <v>37</v>
      </c>
      <c r="F15" s="9">
        <v>45863</v>
      </c>
      <c r="G15" s="2">
        <v>1</v>
      </c>
      <c r="H15" s="10">
        <v>59830</v>
      </c>
      <c r="I15" s="10">
        <v>59830</v>
      </c>
      <c r="J15" s="10">
        <v>598.29999999999995</v>
      </c>
      <c r="K15" s="10">
        <v>66411.3</v>
      </c>
    </row>
    <row r="16" spans="1:11" x14ac:dyDescent="0.3">
      <c r="A16" s="8" t="s">
        <v>26</v>
      </c>
      <c r="B16" s="8" t="s">
        <v>34</v>
      </c>
      <c r="C16" s="8" t="s">
        <v>35</v>
      </c>
      <c r="D16" s="8" t="s">
        <v>32</v>
      </c>
      <c r="E16" s="8" t="s">
        <v>38</v>
      </c>
      <c r="F16" s="9">
        <v>45860</v>
      </c>
      <c r="G16" s="2">
        <v>1</v>
      </c>
      <c r="H16" s="10">
        <v>6300</v>
      </c>
      <c r="I16" s="10">
        <v>6300</v>
      </c>
      <c r="J16" s="10">
        <v>63</v>
      </c>
      <c r="K16" s="10">
        <v>6237</v>
      </c>
    </row>
    <row r="17" spans="1:11" x14ac:dyDescent="0.3">
      <c r="A17" s="8" t="s">
        <v>26</v>
      </c>
      <c r="B17" s="8" t="s">
        <v>30</v>
      </c>
      <c r="C17" s="8" t="s">
        <v>31</v>
      </c>
      <c r="D17" s="8" t="s">
        <v>32</v>
      </c>
      <c r="E17" s="8" t="s">
        <v>39</v>
      </c>
      <c r="F17" s="9">
        <v>45859</v>
      </c>
      <c r="G17" s="2">
        <v>1</v>
      </c>
      <c r="H17" s="10">
        <v>59912</v>
      </c>
      <c r="I17" s="10">
        <v>59912</v>
      </c>
      <c r="J17" s="10">
        <v>599.12</v>
      </c>
      <c r="K17" s="10">
        <v>66502.320000000007</v>
      </c>
    </row>
    <row r="18" spans="1:11" x14ac:dyDescent="0.3">
      <c r="A18" s="8" t="s">
        <v>26</v>
      </c>
      <c r="B18" s="8" t="s">
        <v>34</v>
      </c>
      <c r="C18" s="8" t="s">
        <v>35</v>
      </c>
      <c r="D18" s="8" t="s">
        <v>32</v>
      </c>
      <c r="E18" s="8" t="s">
        <v>40</v>
      </c>
      <c r="F18" s="9">
        <v>45857</v>
      </c>
      <c r="G18" s="2">
        <v>1</v>
      </c>
      <c r="H18" s="10">
        <v>4950</v>
      </c>
      <c r="I18" s="10">
        <v>4950</v>
      </c>
      <c r="J18" s="10">
        <v>49.5</v>
      </c>
      <c r="K18" s="10">
        <v>4900.5</v>
      </c>
    </row>
    <row r="19" spans="1:11" x14ac:dyDescent="0.3">
      <c r="A19" s="8" t="s">
        <v>26</v>
      </c>
      <c r="B19" s="8" t="s">
        <v>30</v>
      </c>
      <c r="C19" s="8" t="s">
        <v>31</v>
      </c>
      <c r="D19" s="8" t="s">
        <v>32</v>
      </c>
      <c r="E19" s="8" t="s">
        <v>41</v>
      </c>
      <c r="F19" s="9">
        <v>45845</v>
      </c>
      <c r="G19" s="2">
        <v>1</v>
      </c>
      <c r="H19" s="10">
        <v>48270</v>
      </c>
      <c r="I19" s="10">
        <v>48270</v>
      </c>
      <c r="J19" s="10">
        <v>482.7</v>
      </c>
      <c r="K19" s="10">
        <v>53579.7</v>
      </c>
    </row>
    <row r="20" spans="1:11" x14ac:dyDescent="0.3">
      <c r="A20" s="8" t="s">
        <v>26</v>
      </c>
      <c r="B20" s="8" t="s">
        <v>42</v>
      </c>
      <c r="C20" s="8" t="s">
        <v>43</v>
      </c>
      <c r="D20" s="8" t="s">
        <v>12</v>
      </c>
      <c r="E20" s="8" t="s">
        <v>44</v>
      </c>
      <c r="F20" s="9">
        <v>45840</v>
      </c>
      <c r="G20" s="2">
        <v>1</v>
      </c>
      <c r="H20" s="10">
        <v>18000</v>
      </c>
      <c r="I20" s="10">
        <v>18000</v>
      </c>
      <c r="J20" s="10">
        <v>180</v>
      </c>
      <c r="K20" s="10">
        <v>21060</v>
      </c>
    </row>
    <row r="21" spans="1:11" x14ac:dyDescent="0.3">
      <c r="A21" s="8" t="s">
        <v>26</v>
      </c>
      <c r="B21" s="8" t="s">
        <v>45</v>
      </c>
      <c r="C21" s="8" t="s">
        <v>46</v>
      </c>
      <c r="D21" s="8" t="s">
        <v>32</v>
      </c>
      <c r="E21" s="8" t="s">
        <v>47</v>
      </c>
      <c r="F21" s="9">
        <v>45841</v>
      </c>
      <c r="G21" s="2">
        <v>1</v>
      </c>
      <c r="H21" s="10">
        <v>31200</v>
      </c>
      <c r="I21" s="10">
        <v>31200</v>
      </c>
      <c r="J21" s="10">
        <v>312</v>
      </c>
      <c r="K21" s="10">
        <v>36504</v>
      </c>
    </row>
    <row r="22" spans="1:11" x14ac:dyDescent="0.3">
      <c r="A22" s="8" t="s">
        <v>26</v>
      </c>
      <c r="B22" s="8" t="s">
        <v>48</v>
      </c>
      <c r="C22" s="8" t="s">
        <v>49</v>
      </c>
      <c r="D22" s="8" t="s">
        <v>12</v>
      </c>
      <c r="E22" s="8" t="s">
        <v>50</v>
      </c>
      <c r="F22" s="9">
        <v>45840</v>
      </c>
      <c r="G22" s="2">
        <v>1</v>
      </c>
      <c r="H22" s="10">
        <v>20000</v>
      </c>
      <c r="I22" s="10">
        <v>20000</v>
      </c>
      <c r="J22" s="10">
        <v>200</v>
      </c>
      <c r="K22" s="10">
        <v>23400</v>
      </c>
    </row>
    <row r="23" spans="1:11" x14ac:dyDescent="0.3">
      <c r="A23" s="8" t="s">
        <v>26</v>
      </c>
      <c r="B23" s="8" t="s">
        <v>48</v>
      </c>
      <c r="C23" s="8" t="s">
        <v>49</v>
      </c>
      <c r="D23" s="8" t="s">
        <v>12</v>
      </c>
      <c r="E23" s="8" t="s">
        <v>51</v>
      </c>
      <c r="F23" s="9">
        <v>45840</v>
      </c>
      <c r="G23" s="2">
        <v>1</v>
      </c>
      <c r="H23" s="10">
        <v>636005.19999999995</v>
      </c>
      <c r="I23" s="10">
        <v>636005.19999999995</v>
      </c>
      <c r="J23" s="10">
        <v>6360.05</v>
      </c>
      <c r="K23" s="10">
        <v>744126.09</v>
      </c>
    </row>
    <row r="24" spans="1:11" x14ac:dyDescent="0.3">
      <c r="A24" s="8" t="s">
        <v>26</v>
      </c>
      <c r="B24" s="8" t="s">
        <v>52</v>
      </c>
      <c r="C24" s="8" t="s">
        <v>53</v>
      </c>
      <c r="D24" s="8" t="s">
        <v>12</v>
      </c>
      <c r="E24" s="8" t="s">
        <v>71</v>
      </c>
      <c r="F24" s="9">
        <v>45839</v>
      </c>
      <c r="G24" s="2">
        <v>1</v>
      </c>
      <c r="H24" s="10">
        <v>14183</v>
      </c>
      <c r="I24" s="10">
        <v>14183</v>
      </c>
      <c r="J24" s="10">
        <v>141.83000000000001</v>
      </c>
      <c r="K24" s="10">
        <v>16594.11</v>
      </c>
    </row>
    <row r="25" spans="1:11" x14ac:dyDescent="0.3">
      <c r="A25" s="8" t="s">
        <v>26</v>
      </c>
      <c r="B25" s="8" t="s">
        <v>54</v>
      </c>
      <c r="C25" s="8" t="s">
        <v>55</v>
      </c>
      <c r="D25" s="8" t="s">
        <v>12</v>
      </c>
      <c r="E25" s="8" t="s">
        <v>56</v>
      </c>
      <c r="F25" s="9">
        <v>45839</v>
      </c>
      <c r="G25" s="2">
        <v>1</v>
      </c>
      <c r="H25" s="10">
        <v>982350</v>
      </c>
      <c r="I25" s="10">
        <v>982350</v>
      </c>
      <c r="J25" s="10">
        <v>9823.5</v>
      </c>
      <c r="K25" s="10">
        <v>1149349.5</v>
      </c>
    </row>
    <row r="26" spans="1:11" x14ac:dyDescent="0.3">
      <c r="A26" s="8" t="s">
        <v>26</v>
      </c>
      <c r="B26" s="8" t="s">
        <v>27</v>
      </c>
      <c r="C26" s="8" t="s">
        <v>28</v>
      </c>
      <c r="D26" s="8" t="s">
        <v>12</v>
      </c>
      <c r="E26" s="8" t="s">
        <v>57</v>
      </c>
      <c r="F26" s="9">
        <v>45839</v>
      </c>
      <c r="G26" s="2">
        <v>1</v>
      </c>
      <c r="H26" s="10">
        <v>54000</v>
      </c>
      <c r="I26" s="10">
        <v>54000</v>
      </c>
      <c r="J26" s="10">
        <v>540</v>
      </c>
      <c r="K26" s="10">
        <v>63180</v>
      </c>
    </row>
    <row r="27" spans="1:11" x14ac:dyDescent="0.3">
      <c r="A27" s="8" t="s">
        <v>58</v>
      </c>
      <c r="B27" s="8" t="s">
        <v>59</v>
      </c>
      <c r="C27" s="8" t="s">
        <v>60</v>
      </c>
      <c r="D27" s="8" t="s">
        <v>32</v>
      </c>
      <c r="E27" s="8" t="s">
        <v>61</v>
      </c>
      <c r="F27" s="9">
        <v>45841</v>
      </c>
      <c r="G27" s="2">
        <v>10</v>
      </c>
      <c r="H27" s="10">
        <v>35000</v>
      </c>
      <c r="I27" s="10">
        <v>35000</v>
      </c>
      <c r="J27" s="10">
        <v>3500</v>
      </c>
      <c r="K27" s="10">
        <v>35168</v>
      </c>
    </row>
    <row r="28" spans="1:11" x14ac:dyDescent="0.3">
      <c r="A28" s="8" t="s">
        <v>62</v>
      </c>
      <c r="B28" s="8" t="s">
        <v>20</v>
      </c>
      <c r="C28" s="8" t="s">
        <v>21</v>
      </c>
      <c r="D28" s="8" t="s">
        <v>12</v>
      </c>
      <c r="E28" s="8" t="s">
        <v>63</v>
      </c>
      <c r="F28" s="9">
        <v>45856</v>
      </c>
      <c r="G28" s="2">
        <v>10</v>
      </c>
      <c r="H28" s="10">
        <v>800</v>
      </c>
      <c r="I28" s="10">
        <v>800</v>
      </c>
      <c r="J28" s="10">
        <v>80</v>
      </c>
      <c r="K28" s="10">
        <v>864</v>
      </c>
    </row>
    <row r="29" spans="1:11" ht="42" x14ac:dyDescent="0.3">
      <c r="A29" s="8" t="s">
        <v>62</v>
      </c>
      <c r="B29" s="8" t="s">
        <v>64</v>
      </c>
      <c r="C29" s="1" t="s">
        <v>65</v>
      </c>
      <c r="D29" s="8" t="s">
        <v>12</v>
      </c>
      <c r="E29" s="8" t="s">
        <v>66</v>
      </c>
      <c r="F29" s="9">
        <v>45846</v>
      </c>
      <c r="G29" s="2">
        <v>10</v>
      </c>
      <c r="H29" s="10">
        <v>26100</v>
      </c>
      <c r="I29" s="10">
        <v>26100</v>
      </c>
      <c r="J29" s="10">
        <v>2610</v>
      </c>
      <c r="K29" s="10">
        <v>28188</v>
      </c>
    </row>
    <row r="30" spans="1:11" ht="42" x14ac:dyDescent="0.3">
      <c r="A30" s="8" t="s">
        <v>62</v>
      </c>
      <c r="B30" s="8" t="s">
        <v>64</v>
      </c>
      <c r="C30" s="1" t="s">
        <v>65</v>
      </c>
      <c r="D30" s="8" t="s">
        <v>12</v>
      </c>
      <c r="E30" s="8" t="s">
        <v>67</v>
      </c>
      <c r="F30" s="9">
        <v>45842</v>
      </c>
      <c r="G30" s="2">
        <v>10</v>
      </c>
      <c r="H30" s="10">
        <v>16920</v>
      </c>
      <c r="I30" s="10">
        <v>16920</v>
      </c>
      <c r="J30" s="10">
        <v>1692</v>
      </c>
      <c r="K30" s="10">
        <v>18273.599999999999</v>
      </c>
    </row>
    <row r="31" spans="1:11" ht="28.2" x14ac:dyDescent="0.3">
      <c r="A31" s="8" t="s">
        <v>62</v>
      </c>
      <c r="B31" s="8" t="s">
        <v>68</v>
      </c>
      <c r="C31" s="1" t="s">
        <v>69</v>
      </c>
      <c r="D31" s="8" t="s">
        <v>12</v>
      </c>
      <c r="E31" s="8" t="s">
        <v>70</v>
      </c>
      <c r="F31" s="9">
        <v>45839</v>
      </c>
      <c r="G31" s="2">
        <v>10</v>
      </c>
      <c r="H31" s="10">
        <v>125000</v>
      </c>
      <c r="I31" s="10">
        <v>125000</v>
      </c>
      <c r="J31" s="10">
        <v>12500</v>
      </c>
      <c r="K31" s="10">
        <v>135000</v>
      </c>
    </row>
    <row r="32" spans="1:11" ht="21" x14ac:dyDescent="0.4">
      <c r="A32" s="13" t="s">
        <v>72</v>
      </c>
      <c r="B32" s="13"/>
      <c r="C32" s="13"/>
      <c r="D32" s="13"/>
      <c r="E32" s="13"/>
      <c r="F32" s="13"/>
      <c r="G32" s="4"/>
      <c r="H32" s="11">
        <f>SUM(H3:H31)</f>
        <v>3642060.12</v>
      </c>
      <c r="I32" s="11">
        <f t="shared" ref="I32:K32" si="0">SUM(I3:I31)</f>
        <v>3537413.51</v>
      </c>
      <c r="J32" s="11">
        <f t="shared" si="0"/>
        <v>66886.14</v>
      </c>
      <c r="K32" s="11">
        <f t="shared" si="0"/>
        <v>4169376.4800000004</v>
      </c>
    </row>
  </sheetData>
  <mergeCells count="1"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Puria</cp:lastModifiedBy>
  <dcterms:created xsi:type="dcterms:W3CDTF">2025-08-02T08:00:18Z</dcterms:created>
  <dcterms:modified xsi:type="dcterms:W3CDTF">2025-08-05T04:44:38Z</dcterms:modified>
</cp:coreProperties>
</file>