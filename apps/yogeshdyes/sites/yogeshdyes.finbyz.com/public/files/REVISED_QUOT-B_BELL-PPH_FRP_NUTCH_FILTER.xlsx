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8_{7F8EEAA7-7268-4033-A1E0-A4B22ACD5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6" r:id="rId1"/>
  </sheets>
  <calcPr calcId="191029"/>
</workbook>
</file>

<file path=xl/calcChain.xml><?xml version="1.0" encoding="utf-8"?>
<calcChain xmlns="http://schemas.openxmlformats.org/spreadsheetml/2006/main">
  <c r="G51" i="6" l="1"/>
  <c r="G44" i="6"/>
  <c r="G28" i="6"/>
  <c r="G63" i="6" s="1"/>
  <c r="G66" i="6" l="1"/>
  <c r="G68" i="6" s="1"/>
  <c r="G70" i="6" l="1"/>
  <c r="G74" i="6" s="1"/>
</calcChain>
</file>

<file path=xl/sharedStrings.xml><?xml version="1.0" encoding="utf-8"?>
<sst xmlns="http://schemas.openxmlformats.org/spreadsheetml/2006/main" count="77" uniqueCount="75">
  <si>
    <t xml:space="preserve">   </t>
  </si>
  <si>
    <t xml:space="preserve">Mob     : </t>
  </si>
  <si>
    <t>E-mail  :</t>
  </si>
  <si>
    <t xml:space="preserve">Manufacture : </t>
  </si>
  <si>
    <t>VALUE SOLUTION PP / PVC / HDPE / FRP</t>
  </si>
  <si>
    <t>Dear Sir,</t>
  </si>
  <si>
    <t xml:space="preserve">             We thanks for valued enquiry for which we take pleasure in quoting the same as under.</t>
  </si>
  <si>
    <t>We trust our quotation will meet your approval &amp; you will favour us with your esteemed order which will receive our careful &amp; prompt</t>
  </si>
  <si>
    <t>attention Awaiting for your positive reply.</t>
  </si>
  <si>
    <t>TERMS &amp; CONDITION</t>
  </si>
  <si>
    <t>For Bindica Poly Plast.</t>
  </si>
  <si>
    <t>THANKING YOU!</t>
  </si>
  <si>
    <t>Proprietor/Authorized sign</t>
  </si>
  <si>
    <t>AMOUNT</t>
  </si>
  <si>
    <t>TO,</t>
  </si>
  <si>
    <t>PP/ HDPE Spiral Tank</t>
  </si>
  <si>
    <t>PP    /    FRP  Tanks,  Blower, Scrubber</t>
  </si>
  <si>
    <t>UNIT</t>
  </si>
  <si>
    <t>SR.NO</t>
  </si>
  <si>
    <t>PARTICULARS</t>
  </si>
  <si>
    <t>HSN/SAC</t>
  </si>
  <si>
    <t>QUANTITY</t>
  </si>
  <si>
    <t>RATES</t>
  </si>
  <si>
    <r>
      <rPr>
        <sz val="16"/>
        <color indexed="10"/>
        <rFont val="Calibri"/>
        <family val="2"/>
      </rPr>
      <t>Factory :-</t>
    </r>
    <r>
      <rPr>
        <sz val="12"/>
        <rFont val="Calibri"/>
        <family val="2"/>
      </rPr>
      <t xml:space="preserve"> W-66/B, MIDC Tarapur, Lupin Chemical Road, Boisar,  Dist :- Palghar- 401506, </t>
    </r>
  </si>
  <si>
    <t>1.  Payment :- 50% ADVANCE PAYMENT   &amp; 50% AGAINST PROFORMA INVOICE.</t>
  </si>
  <si>
    <t>NOS</t>
  </si>
  <si>
    <t>2.Transport Charges In Your's Scope.</t>
  </si>
  <si>
    <t>4.  You Can Deposit Our Due Payment By Draft / Cheque / RTGS</t>
  </si>
  <si>
    <t>GRAND TOTAL</t>
  </si>
  <si>
    <t>SUB TOTAL</t>
  </si>
  <si>
    <t xml:space="preserve"> PPRC  Piping    &amp;     Plastic Equipments</t>
  </si>
  <si>
    <t>bindicapolyplast@gmail.com,,</t>
  </si>
  <si>
    <t>bindicapolyplast11@rediffmail.com</t>
  </si>
  <si>
    <t xml:space="preserve">  9049110052 / 9766093313</t>
  </si>
  <si>
    <r>
      <t xml:space="preserve">                                              </t>
    </r>
    <r>
      <rPr>
        <b/>
        <u/>
        <sz val="20"/>
        <color theme="1"/>
        <rFont val="Calibri"/>
        <family val="2"/>
        <scheme val="minor"/>
      </rPr>
      <t>QUOTATION</t>
    </r>
  </si>
  <si>
    <r>
      <rPr>
        <b/>
        <sz val="12"/>
        <color theme="1"/>
        <rFont val="Calibri"/>
        <family val="2"/>
        <scheme val="minor"/>
      </rPr>
      <t>OPERATING PRESSUER</t>
    </r>
    <r>
      <rPr>
        <sz val="12"/>
        <color theme="1"/>
        <rFont val="Calibri"/>
        <family val="2"/>
        <scheme val="minor"/>
      </rPr>
      <t xml:space="preserve"> : ATM</t>
    </r>
  </si>
  <si>
    <r>
      <rPr>
        <b/>
        <sz val="12"/>
        <color theme="1"/>
        <rFont val="Calibri"/>
        <family val="2"/>
        <scheme val="minor"/>
      </rPr>
      <t>BOTTOM</t>
    </r>
    <r>
      <rPr>
        <sz val="12"/>
        <color theme="1"/>
        <rFont val="Calibri"/>
        <family val="2"/>
        <scheme val="minor"/>
      </rPr>
      <t xml:space="preserve"> : FLAT</t>
    </r>
  </si>
  <si>
    <r>
      <rPr>
        <b/>
        <sz val="12"/>
        <color theme="1"/>
        <rFont val="Calibri"/>
        <family val="2"/>
        <scheme val="minor"/>
      </rPr>
      <t>DESIGN TEMPERATURE</t>
    </r>
    <r>
      <rPr>
        <sz val="12"/>
        <color theme="1"/>
        <rFont val="Calibri"/>
        <family val="2"/>
        <scheme val="minor"/>
      </rPr>
      <t xml:space="preserve"> : 80 DEG C</t>
    </r>
  </si>
  <si>
    <r>
      <rPr>
        <b/>
        <sz val="12"/>
        <color theme="1"/>
        <rFont val="Calibri"/>
        <family val="2"/>
        <scheme val="minor"/>
      </rPr>
      <t>OPERATING TEMPERATURE</t>
    </r>
    <r>
      <rPr>
        <sz val="12"/>
        <color theme="1"/>
        <rFont val="Calibri"/>
        <family val="2"/>
        <scheme val="minor"/>
      </rPr>
      <t xml:space="preserve"> : 70 DEG C</t>
    </r>
  </si>
  <si>
    <r>
      <rPr>
        <b/>
        <sz val="12"/>
        <color theme="1"/>
        <rFont val="Calibri"/>
        <family val="2"/>
        <scheme val="minor"/>
      </rPr>
      <t>TANK DESIGN STANDARD</t>
    </r>
    <r>
      <rPr>
        <sz val="12"/>
        <color theme="1"/>
        <rFont val="Calibri"/>
        <family val="2"/>
        <scheme val="minor"/>
      </rPr>
      <t xml:space="preserve"> : EN13121</t>
    </r>
  </si>
  <si>
    <t>3.  Delivery : 10 DAYS AFTER PO RECEIPT</t>
  </si>
  <si>
    <t>B BELL INDUSTRIES LLP</t>
  </si>
  <si>
    <t>SUTREL, SAYAKHA, GUJRAT</t>
  </si>
  <si>
    <t xml:space="preserve">                                                                    QUOTATION FOR -PPH/FRP NUTSCHE FILTER</t>
  </si>
  <si>
    <t xml:space="preserve">                                                                    KIND ATTN- MR SHAH JI</t>
  </si>
  <si>
    <t>PPH/FRP NUTSCHE FILTER -2000 LTRS (2KL)</t>
  </si>
  <si>
    <r>
      <rPr>
        <b/>
        <sz val="12"/>
        <color theme="1"/>
        <rFont val="Calibri"/>
        <family val="2"/>
        <scheme val="minor"/>
      </rPr>
      <t xml:space="preserve">TANK CONSTRUCTION: </t>
    </r>
    <r>
      <rPr>
        <sz val="12"/>
        <color theme="1"/>
        <rFont val="Calibri"/>
        <family val="2"/>
        <scheme val="minor"/>
      </rPr>
      <t>RECTANGULAR, VERTICAL, OPEN TOP</t>
    </r>
  </si>
  <si>
    <r>
      <rPr>
        <b/>
        <sz val="12"/>
        <color theme="1"/>
        <rFont val="Calibri"/>
        <family val="2"/>
        <scheme val="minor"/>
      </rPr>
      <t>M.O.C.</t>
    </r>
    <r>
      <rPr>
        <sz val="12"/>
        <color theme="1"/>
        <rFont val="Calibri"/>
        <family val="2"/>
        <scheme val="minor"/>
      </rPr>
      <t>: PPH/FRP</t>
    </r>
  </si>
  <si>
    <r>
      <rPr>
        <b/>
        <sz val="12"/>
        <color theme="1"/>
        <rFont val="Calibri"/>
        <family val="2"/>
        <scheme val="minor"/>
      </rPr>
      <t xml:space="preserve">TANK LENGTH </t>
    </r>
    <r>
      <rPr>
        <sz val="12"/>
        <color theme="1"/>
        <rFont val="Calibri"/>
        <family val="2"/>
        <scheme val="minor"/>
      </rPr>
      <t xml:space="preserve"> : 2000MM</t>
    </r>
  </si>
  <si>
    <r>
      <rPr>
        <b/>
        <sz val="12"/>
        <rFont val="Calibri"/>
        <family val="2"/>
        <scheme val="minor"/>
      </rPr>
      <t>TANK HEIGHT</t>
    </r>
    <r>
      <rPr>
        <sz val="12"/>
        <rFont val="Calibri"/>
        <family val="2"/>
        <scheme val="minor"/>
      </rPr>
      <t xml:space="preserve"> : 1000MM</t>
    </r>
  </si>
  <si>
    <r>
      <rPr>
        <b/>
        <sz val="12"/>
        <rFont val="Calibri"/>
        <family val="2"/>
        <scheme val="minor"/>
      </rPr>
      <t>TANK WIDTH</t>
    </r>
    <r>
      <rPr>
        <sz val="12"/>
        <rFont val="Calibri"/>
        <family val="2"/>
        <scheme val="minor"/>
      </rPr>
      <t xml:space="preserve"> : 1000MM</t>
    </r>
  </si>
  <si>
    <r>
      <rPr>
        <b/>
        <sz val="12"/>
        <color theme="1"/>
        <rFont val="Calibri"/>
        <family val="2"/>
        <scheme val="minor"/>
      </rPr>
      <t>THICKNESS</t>
    </r>
    <r>
      <rPr>
        <sz val="12"/>
        <color theme="1"/>
        <rFont val="Calibri"/>
        <family val="2"/>
        <scheme val="minor"/>
      </rPr>
      <t xml:space="preserve"> : 5MM PPGL + 10MM FRP</t>
    </r>
  </si>
  <si>
    <t>WITH OUTSIDE MS + FRP LINED SUPPORT</t>
  </si>
  <si>
    <t>*20MM THICK FILTER PLATE AT 400MM (H)</t>
  </si>
  <si>
    <t>*WITH OUTLET NOZZLES &amp; VACUUM NOZZLES</t>
  </si>
  <si>
    <t>PPH/FRP VACUUM EJECTOR TANK</t>
  </si>
  <si>
    <t>*1700LTR PPH/FRP VACUUM EJECTOR TANK</t>
  </si>
  <si>
    <t>*WITH INSIDE PARTITION &amp; OUTLET NOZZLES</t>
  </si>
  <si>
    <t>*SIZE- 1200MM (L) X 1200MM (W) X 1200MM (H)</t>
  </si>
  <si>
    <t>*THICKNESS- 5MM PPHGL + 7MM FRP</t>
  </si>
  <si>
    <t>*WITH OUTSIDE MS BOX SUPPORT</t>
  </si>
  <si>
    <t>*FOR 10HP PUMP</t>
  </si>
  <si>
    <t>(REQUIRED PUMP 10HP PP)</t>
  </si>
  <si>
    <r>
      <t>* PUMP FLORATE - 40M</t>
    </r>
    <r>
      <rPr>
        <vertAlign val="superscript"/>
        <sz val="12"/>
        <color theme="1"/>
        <rFont val="Calibri"/>
        <family val="2"/>
        <scheme val="minor"/>
      </rPr>
      <t xml:space="preserve">3 </t>
    </r>
  </si>
  <si>
    <t>*PUMP HEAD- 35MTRS</t>
  </si>
  <si>
    <t>*PUMP PRESSURE- 3.5KG</t>
  </si>
  <si>
    <t>PP VACUUM EJECTOR (650 TO 700)</t>
  </si>
  <si>
    <t>*WITH MS FRAME FOR EJECTOR MOUNTING</t>
  </si>
  <si>
    <t xml:space="preserve">NOTE:- </t>
  </si>
  <si>
    <t>PLUS IGST</t>
  </si>
  <si>
    <t>PUMP &amp; PIPE LINE SUPPLY FOR VACUUM EJECTOR SYSTEM IN YOUR SCOPE</t>
  </si>
  <si>
    <t>LESS DISC</t>
  </si>
  <si>
    <t>TOTAL AFTER DISC</t>
  </si>
  <si>
    <t>DATE-09/04/2024</t>
  </si>
  <si>
    <t>REF NO:-BPP/QUO/2024-25/EX14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</si>
</sst>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4"/>
      <color indexed="9"/>
      <name val="Calibri"/>
      <family val="2"/>
    </font>
    <font>
      <sz val="12"/>
      <name val="Calibri"/>
      <family val="2"/>
    </font>
    <font>
      <sz val="16"/>
      <color indexed="10"/>
      <name val="Calibri"/>
      <family val="2"/>
    </font>
    <font>
      <sz val="10"/>
      <name val="Calibri"/>
      <family val="2"/>
    </font>
    <font>
      <sz val="11"/>
      <color indexed="8"/>
      <name val="Cambria"/>
      <family val="1"/>
    </font>
    <font>
      <b/>
      <sz val="11"/>
      <color indexed="8"/>
      <name val="Cambria"/>
      <family val="1"/>
    </font>
    <font>
      <sz val="12"/>
      <color indexed="8"/>
      <name val="Cambria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mbria"/>
      <family val="1"/>
    </font>
    <font>
      <sz val="14"/>
      <color indexed="8"/>
      <name val="Cambria"/>
      <family val="1"/>
    </font>
    <font>
      <u/>
      <sz val="11"/>
      <color theme="10"/>
      <name val="Calibri"/>
      <family val="2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mbria"/>
      <family val="1"/>
    </font>
    <font>
      <vertAlign val="superscript"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2" fillId="0" borderId="2" xfId="0" applyFont="1" applyBorder="1"/>
    <xf numFmtId="0" fontId="4" fillId="0" borderId="2" xfId="0" applyFont="1" applyBorder="1"/>
    <xf numFmtId="0" fontId="5" fillId="0" borderId="0" xfId="0" applyFont="1"/>
    <xf numFmtId="0" fontId="7" fillId="0" borderId="0" xfId="0" applyFont="1"/>
    <xf numFmtId="0" fontId="6" fillId="0" borderId="0" xfId="0" applyFont="1"/>
    <xf numFmtId="0" fontId="0" fillId="0" borderId="5" xfId="0" applyBorder="1"/>
    <xf numFmtId="0" fontId="9" fillId="0" borderId="3" xfId="0" applyFont="1" applyBorder="1"/>
    <xf numFmtId="0" fontId="9" fillId="0" borderId="0" xfId="0" applyFont="1"/>
    <xf numFmtId="0" fontId="7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2" fontId="5" fillId="0" borderId="6" xfId="0" applyNumberFormat="1" applyFont="1" applyBorder="1"/>
    <xf numFmtId="0" fontId="0" fillId="0" borderId="0" xfId="0" applyAlignment="1">
      <alignment horizontal="right"/>
    </xf>
    <xf numFmtId="10" fontId="9" fillId="0" borderId="0" xfId="0" applyNumberFormat="1" applyFont="1"/>
    <xf numFmtId="0" fontId="9" fillId="0" borderId="4" xfId="0" applyFont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10" fillId="0" borderId="5" xfId="0" applyFont="1" applyBorder="1"/>
    <xf numFmtId="2" fontId="12" fillId="0" borderId="6" xfId="0" applyNumberFormat="1" applyFont="1" applyBorder="1" applyAlignment="1">
      <alignment horizontal="right" wrapText="1"/>
    </xf>
    <xf numFmtId="0" fontId="13" fillId="0" borderId="6" xfId="0" applyFont="1" applyBorder="1" applyAlignment="1">
      <alignment horizontal="center"/>
    </xf>
    <xf numFmtId="2" fontId="12" fillId="0" borderId="6" xfId="0" applyNumberFormat="1" applyFont="1" applyBorder="1"/>
    <xf numFmtId="10" fontId="9" fillId="0" borderId="7" xfId="0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6" fillId="0" borderId="9" xfId="0" applyNumberFormat="1" applyFont="1" applyBorder="1" applyAlignment="1">
      <alignment horizontal="right"/>
    </xf>
    <xf numFmtId="0" fontId="6" fillId="0" borderId="0" xfId="0" applyFont="1" applyAlignment="1">
      <alignment wrapText="1"/>
    </xf>
    <xf numFmtId="0" fontId="6" fillId="0" borderId="9" xfId="0" applyFont="1" applyBorder="1" applyAlignment="1">
      <alignment horizontal="center"/>
    </xf>
    <xf numFmtId="2" fontId="5" fillId="0" borderId="9" xfId="0" applyNumberFormat="1" applyFont="1" applyBorder="1"/>
    <xf numFmtId="0" fontId="10" fillId="0" borderId="0" xfId="0" applyFont="1" applyAlignment="1">
      <alignment wrapText="1"/>
    </xf>
    <xf numFmtId="0" fontId="14" fillId="0" borderId="0" xfId="2" applyAlignment="1" applyProtection="1"/>
    <xf numFmtId="0" fontId="15" fillId="0" borderId="0" xfId="0" applyFont="1"/>
    <xf numFmtId="0" fontId="17" fillId="0" borderId="5" xfId="0" applyFont="1" applyBorder="1"/>
    <xf numFmtId="0" fontId="10" fillId="0" borderId="0" xfId="0" applyFont="1"/>
    <xf numFmtId="10" fontId="10" fillId="0" borderId="0" xfId="0" applyNumberFormat="1" applyFont="1"/>
    <xf numFmtId="2" fontId="10" fillId="0" borderId="5" xfId="0" applyNumberFormat="1" applyFont="1" applyBorder="1"/>
    <xf numFmtId="0" fontId="17" fillId="0" borderId="0" xfId="0" applyFont="1" applyAlignment="1">
      <alignment wrapText="1"/>
    </xf>
    <xf numFmtId="0" fontId="10" fillId="0" borderId="6" xfId="0" applyFont="1" applyBorder="1"/>
    <xf numFmtId="2" fontId="11" fillId="0" borderId="5" xfId="0" applyNumberFormat="1" applyFont="1" applyBorder="1"/>
    <xf numFmtId="2" fontId="7" fillId="0" borderId="6" xfId="0" applyNumberFormat="1" applyFont="1" applyBorder="1" applyAlignment="1">
      <alignment horizontal="right"/>
    </xf>
    <xf numFmtId="2" fontId="10" fillId="0" borderId="5" xfId="0" applyNumberFormat="1" applyFont="1" applyBorder="1" applyAlignment="1">
      <alignment horizontal="center"/>
    </xf>
    <xf numFmtId="0" fontId="18" fillId="0" borderId="5" xfId="0" applyFont="1" applyBorder="1"/>
    <xf numFmtId="9" fontId="18" fillId="0" borderId="5" xfId="0" applyNumberFormat="1" applyFont="1" applyBorder="1"/>
    <xf numFmtId="0" fontId="19" fillId="0" borderId="0" xfId="0" applyFont="1"/>
    <xf numFmtId="0" fontId="10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20" fillId="0" borderId="0" xfId="0" applyFont="1"/>
    <xf numFmtId="0" fontId="17" fillId="0" borderId="0" xfId="0" applyFont="1"/>
    <xf numFmtId="0" fontId="11" fillId="0" borderId="5" xfId="0" applyFont="1" applyBorder="1"/>
    <xf numFmtId="10" fontId="11" fillId="0" borderId="0" xfId="0" applyNumberFormat="1" applyFont="1"/>
    <xf numFmtId="0" fontId="22" fillId="0" borderId="5" xfId="0" applyFont="1" applyBorder="1"/>
    <xf numFmtId="0" fontId="11" fillId="0" borderId="3" xfId="0" applyFont="1" applyBorder="1"/>
    <xf numFmtId="10" fontId="11" fillId="0" borderId="4" xfId="0" applyNumberFormat="1" applyFont="1" applyBorder="1"/>
    <xf numFmtId="2" fontId="11" fillId="0" borderId="3" xfId="0" applyNumberFormat="1" applyFont="1" applyBorder="1"/>
    <xf numFmtId="0" fontId="23" fillId="0" borderId="3" xfId="0" applyFont="1" applyBorder="1"/>
    <xf numFmtId="9" fontId="23" fillId="0" borderId="3" xfId="0" applyNumberFormat="1" applyFont="1" applyBorder="1"/>
    <xf numFmtId="0" fontId="11" fillId="3" borderId="3" xfId="0" applyFont="1" applyFill="1" applyBorder="1"/>
    <xf numFmtId="10" fontId="11" fillId="3" borderId="4" xfId="0" applyNumberFormat="1" applyFont="1" applyFill="1" applyBorder="1"/>
    <xf numFmtId="2" fontId="11" fillId="3" borderId="3" xfId="0" applyNumberFormat="1" applyFont="1" applyFill="1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0</xdr:rowOff>
    </xdr:from>
    <xdr:to>
      <xdr:col>6</xdr:col>
      <xdr:colOff>104583</xdr:colOff>
      <xdr:row>14</xdr:row>
      <xdr:rowOff>27179</xdr:rowOff>
    </xdr:to>
    <xdr:pic>
      <xdr:nvPicPr>
        <xdr:cNvPr id="2" name="Picture 1" descr="Scan...._0.t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2775" y="2790825"/>
          <a:ext cx="7999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14</xdr:row>
      <xdr:rowOff>0</xdr:rowOff>
    </xdr:from>
    <xdr:to>
      <xdr:col>6</xdr:col>
      <xdr:colOff>456219</xdr:colOff>
      <xdr:row>14</xdr:row>
      <xdr:rowOff>4973</xdr:rowOff>
    </xdr:to>
    <xdr:pic>
      <xdr:nvPicPr>
        <xdr:cNvPr id="3" name="Picture 2" descr="Scan...._0.t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790825"/>
          <a:ext cx="1171382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104583</xdr:colOff>
      <xdr:row>14</xdr:row>
      <xdr:rowOff>27179</xdr:rowOff>
    </xdr:to>
    <xdr:pic>
      <xdr:nvPicPr>
        <xdr:cNvPr id="4" name="Picture 3" descr="Scan...._0.tm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2775" y="2790825"/>
          <a:ext cx="7999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14</xdr:row>
      <xdr:rowOff>0</xdr:rowOff>
    </xdr:from>
    <xdr:to>
      <xdr:col>6</xdr:col>
      <xdr:colOff>326009</xdr:colOff>
      <xdr:row>14</xdr:row>
      <xdr:rowOff>4445</xdr:rowOff>
    </xdr:to>
    <xdr:pic>
      <xdr:nvPicPr>
        <xdr:cNvPr id="5" name="Picture 17" descr="Scan...._0.tm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010400" y="2790825"/>
          <a:ext cx="955929" cy="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104583</xdr:colOff>
      <xdr:row>14</xdr:row>
      <xdr:rowOff>27179</xdr:rowOff>
    </xdr:to>
    <xdr:pic>
      <xdr:nvPicPr>
        <xdr:cNvPr id="6" name="Picture 5" descr="Scan...._0.t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2775" y="2790825"/>
          <a:ext cx="7999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14</xdr:row>
      <xdr:rowOff>0</xdr:rowOff>
    </xdr:from>
    <xdr:to>
      <xdr:col>6</xdr:col>
      <xdr:colOff>456219</xdr:colOff>
      <xdr:row>14</xdr:row>
      <xdr:rowOff>4973</xdr:rowOff>
    </xdr:to>
    <xdr:pic>
      <xdr:nvPicPr>
        <xdr:cNvPr id="7" name="Picture 6" descr="Scan...._0.tmp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790825"/>
          <a:ext cx="1171382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104583</xdr:colOff>
      <xdr:row>14</xdr:row>
      <xdr:rowOff>27179</xdr:rowOff>
    </xdr:to>
    <xdr:pic>
      <xdr:nvPicPr>
        <xdr:cNvPr id="8" name="Picture 7" descr="Scan...._0.t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62775" y="2790825"/>
          <a:ext cx="7999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14</xdr:row>
      <xdr:rowOff>0</xdr:rowOff>
    </xdr:from>
    <xdr:to>
      <xdr:col>6</xdr:col>
      <xdr:colOff>326009</xdr:colOff>
      <xdr:row>14</xdr:row>
      <xdr:rowOff>4445</xdr:rowOff>
    </xdr:to>
    <xdr:pic>
      <xdr:nvPicPr>
        <xdr:cNvPr id="9" name="Picture 17" descr="Scan...._0.t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010400" y="2790825"/>
          <a:ext cx="955929" cy="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10" name="Picture 9" descr="Scan...._0.t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11" name="Picture 10" descr="Scan...._0.t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12" name="Picture 11" descr="Scan...._0.tmp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13" name="Picture 12" descr="Scan...._0.tmp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14" name="Picture 13" descr="Scan...._0.tmp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15" name="Picture 14" descr="Scan...._0.tmp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16" name="Picture 15" descr="Scan...._0.tmp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17" name="Picture 16" descr="Scan...._0.tmp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18" name="Picture 17" descr="Scan...._0.tmp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19" name="Picture 18" descr="Scan...._0.tmp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20" name="Picture 19" descr="Scan...._0.tmp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21" name="Picture 20" descr="Scan...._0.tmp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15</xdr:row>
      <xdr:rowOff>0</xdr:rowOff>
    </xdr:from>
    <xdr:to>
      <xdr:col>6</xdr:col>
      <xdr:colOff>460121</xdr:colOff>
      <xdr:row>15</xdr:row>
      <xdr:rowOff>4445</xdr:rowOff>
    </xdr:to>
    <xdr:pic>
      <xdr:nvPicPr>
        <xdr:cNvPr id="22" name="Picture 17" descr="Scan...._0.tmp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010400" y="2990850"/>
          <a:ext cx="1175766" cy="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609600</xdr:colOff>
      <xdr:row>15</xdr:row>
      <xdr:rowOff>26035</xdr:rowOff>
    </xdr:to>
    <xdr:pic>
      <xdr:nvPicPr>
        <xdr:cNvPr id="23" name="Picture 18" descr="Scan...._0.tmp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962775" y="29908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609600</xdr:colOff>
      <xdr:row>15</xdr:row>
      <xdr:rowOff>26035</xdr:rowOff>
    </xdr:to>
    <xdr:pic>
      <xdr:nvPicPr>
        <xdr:cNvPr id="24" name="Picture 19" descr="Scan...._0.tmp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962775" y="29908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609600</xdr:colOff>
      <xdr:row>15</xdr:row>
      <xdr:rowOff>26035</xdr:rowOff>
    </xdr:to>
    <xdr:pic>
      <xdr:nvPicPr>
        <xdr:cNvPr id="25" name="Picture 20" descr="Scan...._0.tmp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962775" y="2990850"/>
          <a:ext cx="6096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26" name="Picture 25" descr="Scan...._0.tmp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27" name="Picture 26" descr="Scan...._0.tmp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28" name="Picture 27" descr="Scan...._0.tmp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29" name="Picture 28" descr="Scan...._0.tmp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30" name="Picture 29" descr="Scan...._0.tmp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31" name="Picture 30" descr="Scan...._0.tmp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32" name="Picture 31" descr="Scan...._0.tmp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33" name="Picture 32" descr="Scan...._0.tmp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34" name="Picture 33" descr="Scan...._0.tmp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35" name="Picture 34" descr="Scan...._0.tmp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36" name="Picture 35" descr="Scan...._0.tmp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37" name="Picture 36" descr="Scan...._0.tmp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4972</xdr:rowOff>
    </xdr:to>
    <xdr:pic>
      <xdr:nvPicPr>
        <xdr:cNvPr id="38" name="Picture 37" descr="Scan...._0.tmp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39" name="Picture 38" descr="Scan...._0.tmp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40" name="Picture 39" descr="Scan...._0.tmp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41" name="Picture 40" descr="Scan...._0.tmp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4972</xdr:rowOff>
    </xdr:to>
    <xdr:pic>
      <xdr:nvPicPr>
        <xdr:cNvPr id="42" name="Picture 41" descr="Scan...._0.tmp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43" name="Picture 42" descr="Scan...._0.tmp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44" name="Picture 43" descr="Scan...._0.tmp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45" name="Picture 44" descr="Scan...._0.tmp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46" name="Picture 45" descr="Scan...._0.tmp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47" name="Picture 46" descr="Scan...._0.tmp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48" name="Picture 47" descr="Scan...._0.tmp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49" name="Picture 48" descr="Scan...._0.tmp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50" name="Picture 49" descr="Scan...._0.tmp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51" name="Picture 50" descr="Scan...._0.tmp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52" name="Picture 51" descr="Scan...._0.tmp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53" name="Picture 52" descr="Scan...._0.tmp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54" name="Picture 53" descr="Scan...._0.tmp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55" name="Picture 54" descr="Scan...._0.tmp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56" name="Picture 55" descr="Scan...._0.tmp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57" name="Picture 56" descr="Scan...._0.tmp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15</xdr:row>
      <xdr:rowOff>0</xdr:rowOff>
    </xdr:from>
    <xdr:to>
      <xdr:col>6</xdr:col>
      <xdr:colOff>460121</xdr:colOff>
      <xdr:row>15</xdr:row>
      <xdr:rowOff>4445</xdr:rowOff>
    </xdr:to>
    <xdr:pic>
      <xdr:nvPicPr>
        <xdr:cNvPr id="58" name="Picture 17" descr="Scan...._0.tmp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010400" y="2990850"/>
          <a:ext cx="1175766" cy="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59" name="Picture 58" descr="Scan...._0.tmp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60" name="Picture 59" descr="Scan...._0.tmp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61" name="Picture 60" descr="Scan...._0.tmp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15</xdr:row>
      <xdr:rowOff>0</xdr:rowOff>
    </xdr:from>
    <xdr:to>
      <xdr:col>6</xdr:col>
      <xdr:colOff>460121</xdr:colOff>
      <xdr:row>15</xdr:row>
      <xdr:rowOff>4445</xdr:rowOff>
    </xdr:to>
    <xdr:pic>
      <xdr:nvPicPr>
        <xdr:cNvPr id="62" name="Picture 17" descr="Scan...._0.tmp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010400" y="2990850"/>
          <a:ext cx="1175766" cy="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647508</xdr:colOff>
      <xdr:row>15</xdr:row>
      <xdr:rowOff>27179</xdr:rowOff>
    </xdr:to>
    <xdr:pic>
      <xdr:nvPicPr>
        <xdr:cNvPr id="63" name="Picture 62" descr="Scan...._0.tmp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62775" y="2990850"/>
          <a:ext cx="647508" cy="29719"/>
        </a:xfrm>
        <a:prstGeom prst="rect">
          <a:avLst/>
        </a:prstGeom>
      </xdr:spPr>
    </xdr:pic>
    <xdr:clientData/>
  </xdr:twoCellAnchor>
  <xdr:twoCellAnchor editAs="oneCell">
    <xdr:from>
      <xdr:col>5</xdr:col>
      <xdr:colOff>48107</xdr:colOff>
      <xdr:row>15</xdr:row>
      <xdr:rowOff>0</xdr:rowOff>
    </xdr:from>
    <xdr:to>
      <xdr:col>6</xdr:col>
      <xdr:colOff>458505</xdr:colOff>
      <xdr:row>15</xdr:row>
      <xdr:rowOff>4973</xdr:rowOff>
    </xdr:to>
    <xdr:pic>
      <xdr:nvPicPr>
        <xdr:cNvPr id="64" name="Picture 63" descr="Scan...._0.tmp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882" y="2990850"/>
          <a:ext cx="1173668" cy="4973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15</xdr:row>
      <xdr:rowOff>0</xdr:rowOff>
    </xdr:from>
    <xdr:to>
      <xdr:col>6</xdr:col>
      <xdr:colOff>460121</xdr:colOff>
      <xdr:row>15</xdr:row>
      <xdr:rowOff>4445</xdr:rowOff>
    </xdr:to>
    <xdr:pic>
      <xdr:nvPicPr>
        <xdr:cNvPr id="66" name="Picture 17" descr="Scan...._0.tmp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010400" y="2990850"/>
          <a:ext cx="1175766" cy="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581025</xdr:colOff>
      <xdr:row>4</xdr:row>
      <xdr:rowOff>76104</xdr:rowOff>
    </xdr:from>
    <xdr:to>
      <xdr:col>2</xdr:col>
      <xdr:colOff>885825</xdr:colOff>
      <xdr:row>7</xdr:row>
      <xdr:rowOff>66579</xdr:rowOff>
    </xdr:to>
    <xdr:pic>
      <xdr:nvPicPr>
        <xdr:cNvPr id="67" name="Picture 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190625" y="838104"/>
          <a:ext cx="33718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561975</xdr:colOff>
      <xdr:row>1</xdr:row>
      <xdr:rowOff>180975</xdr:rowOff>
    </xdr:from>
    <xdr:to>
      <xdr:col>1</xdr:col>
      <xdr:colOff>3152775</xdr:colOff>
      <xdr:row>4</xdr:row>
      <xdr:rowOff>95250</xdr:rowOff>
    </xdr:to>
    <xdr:pic>
      <xdr:nvPicPr>
        <xdr:cNvPr id="68" name="Picture 5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2000" contrast="60000"/>
        </a:blip>
        <a:srcRect/>
        <a:stretch>
          <a:fillRect/>
        </a:stretch>
      </xdr:blipFill>
      <xdr:spPr bwMode="auto">
        <a:xfrm>
          <a:off x="561975" y="371475"/>
          <a:ext cx="311467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1628775</xdr:colOff>
      <xdr:row>1</xdr:row>
      <xdr:rowOff>38100</xdr:rowOff>
    </xdr:from>
    <xdr:to>
      <xdr:col>1</xdr:col>
      <xdr:colOff>2385949</xdr:colOff>
      <xdr:row>1</xdr:row>
      <xdr:rowOff>39243</xdr:rowOff>
    </xdr:to>
    <xdr:pic>
      <xdr:nvPicPr>
        <xdr:cNvPr id="69" name="Picture 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238375" y="228600"/>
          <a:ext cx="1524" cy="1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3343275</xdr:colOff>
      <xdr:row>0</xdr:row>
      <xdr:rowOff>38100</xdr:rowOff>
    </xdr:from>
    <xdr:to>
      <xdr:col>2</xdr:col>
      <xdr:colOff>390779</xdr:colOff>
      <xdr:row>0</xdr:row>
      <xdr:rowOff>39116</xdr:rowOff>
    </xdr:to>
    <xdr:pic>
      <xdr:nvPicPr>
        <xdr:cNvPr id="70" name="Picture 574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676650" y="38100"/>
          <a:ext cx="3429" cy="15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74696</xdr:colOff>
      <xdr:row>1</xdr:row>
      <xdr:rowOff>30079</xdr:rowOff>
    </xdr:from>
    <xdr:to>
      <xdr:col>0</xdr:col>
      <xdr:colOff>618010</xdr:colOff>
      <xdr:row>1</xdr:row>
      <xdr:rowOff>32619</xdr:rowOff>
    </xdr:to>
    <xdr:pic>
      <xdr:nvPicPr>
        <xdr:cNvPr id="71" name="Picture 6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4696" y="220579"/>
          <a:ext cx="56553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238125</xdr:colOff>
      <xdr:row>1</xdr:row>
      <xdr:rowOff>28575</xdr:rowOff>
    </xdr:from>
    <xdr:to>
      <xdr:col>2</xdr:col>
      <xdr:colOff>711708</xdr:colOff>
      <xdr:row>1</xdr:row>
      <xdr:rowOff>29337</xdr:rowOff>
    </xdr:to>
    <xdr:pic>
      <xdr:nvPicPr>
        <xdr:cNvPr id="72" name="Picture 574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914775" y="219075"/>
          <a:ext cx="366903" cy="7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</xdr:row>
      <xdr:rowOff>9525</xdr:rowOff>
    </xdr:from>
    <xdr:to>
      <xdr:col>1</xdr:col>
      <xdr:colOff>75919</xdr:colOff>
      <xdr:row>1</xdr:row>
      <xdr:rowOff>16891</xdr:rowOff>
    </xdr:to>
    <xdr:pic>
      <xdr:nvPicPr>
        <xdr:cNvPr id="73" name="Picture 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90500" y="200025"/>
          <a:ext cx="571219" cy="213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3619500</xdr:colOff>
      <xdr:row>0</xdr:row>
      <xdr:rowOff>133349</xdr:rowOff>
    </xdr:from>
    <xdr:to>
      <xdr:col>3</xdr:col>
      <xdr:colOff>134937</xdr:colOff>
      <xdr:row>0</xdr:row>
      <xdr:rowOff>136524</xdr:rowOff>
    </xdr:to>
    <xdr:pic>
      <xdr:nvPicPr>
        <xdr:cNvPr id="74" name="Picture 574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676650" y="133349"/>
          <a:ext cx="3429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581025</xdr:colOff>
      <xdr:row>4</xdr:row>
      <xdr:rowOff>76104</xdr:rowOff>
    </xdr:from>
    <xdr:to>
      <xdr:col>2</xdr:col>
      <xdr:colOff>885825</xdr:colOff>
      <xdr:row>7</xdr:row>
      <xdr:rowOff>66579</xdr:rowOff>
    </xdr:to>
    <xdr:pic>
      <xdr:nvPicPr>
        <xdr:cNvPr id="75" name="Picture 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190625" y="838104"/>
          <a:ext cx="33718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561975</xdr:colOff>
      <xdr:row>1</xdr:row>
      <xdr:rowOff>180975</xdr:rowOff>
    </xdr:from>
    <xdr:to>
      <xdr:col>1</xdr:col>
      <xdr:colOff>3152775</xdr:colOff>
      <xdr:row>4</xdr:row>
      <xdr:rowOff>95250</xdr:rowOff>
    </xdr:to>
    <xdr:pic>
      <xdr:nvPicPr>
        <xdr:cNvPr id="76" name="Picture 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lum bright="-2000" contrast="60000"/>
        </a:blip>
        <a:srcRect/>
        <a:stretch>
          <a:fillRect/>
        </a:stretch>
      </xdr:blipFill>
      <xdr:spPr bwMode="auto">
        <a:xfrm>
          <a:off x="561975" y="371475"/>
          <a:ext cx="311467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1628775</xdr:colOff>
      <xdr:row>1</xdr:row>
      <xdr:rowOff>38100</xdr:rowOff>
    </xdr:from>
    <xdr:to>
      <xdr:col>1</xdr:col>
      <xdr:colOff>2385949</xdr:colOff>
      <xdr:row>1</xdr:row>
      <xdr:rowOff>39243</xdr:rowOff>
    </xdr:to>
    <xdr:pic>
      <xdr:nvPicPr>
        <xdr:cNvPr id="77" name="Picture 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238375" y="228600"/>
          <a:ext cx="1524" cy="1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3343275</xdr:colOff>
      <xdr:row>0</xdr:row>
      <xdr:rowOff>38100</xdr:rowOff>
    </xdr:from>
    <xdr:to>
      <xdr:col>2</xdr:col>
      <xdr:colOff>390779</xdr:colOff>
      <xdr:row>0</xdr:row>
      <xdr:rowOff>39116</xdr:rowOff>
    </xdr:to>
    <xdr:pic>
      <xdr:nvPicPr>
        <xdr:cNvPr id="78" name="Picture 574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676650" y="38100"/>
          <a:ext cx="3429" cy="15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74696</xdr:colOff>
      <xdr:row>1</xdr:row>
      <xdr:rowOff>30079</xdr:rowOff>
    </xdr:from>
    <xdr:to>
      <xdr:col>0</xdr:col>
      <xdr:colOff>618010</xdr:colOff>
      <xdr:row>1</xdr:row>
      <xdr:rowOff>32619</xdr:rowOff>
    </xdr:to>
    <xdr:pic>
      <xdr:nvPicPr>
        <xdr:cNvPr id="79" name="Picture 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4696" y="220579"/>
          <a:ext cx="56553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238125</xdr:colOff>
      <xdr:row>1</xdr:row>
      <xdr:rowOff>28575</xdr:rowOff>
    </xdr:from>
    <xdr:to>
      <xdr:col>2</xdr:col>
      <xdr:colOff>711708</xdr:colOff>
      <xdr:row>1</xdr:row>
      <xdr:rowOff>29337</xdr:rowOff>
    </xdr:to>
    <xdr:pic>
      <xdr:nvPicPr>
        <xdr:cNvPr id="80" name="Picture 574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914775" y="219075"/>
          <a:ext cx="366903" cy="7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1</xdr:row>
      <xdr:rowOff>9524</xdr:rowOff>
    </xdr:from>
    <xdr:to>
      <xdr:col>1</xdr:col>
      <xdr:colOff>75919</xdr:colOff>
      <xdr:row>2</xdr:row>
      <xdr:rowOff>142875</xdr:rowOff>
    </xdr:to>
    <xdr:pic>
      <xdr:nvPicPr>
        <xdr:cNvPr id="81" name="Picture 6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90500" y="200024"/>
          <a:ext cx="504544" cy="323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419100</xdr:colOff>
      <xdr:row>81</xdr:row>
      <xdr:rowOff>19050</xdr:rowOff>
    </xdr:from>
    <xdr:to>
      <xdr:col>5</xdr:col>
      <xdr:colOff>518161</xdr:colOff>
      <xdr:row>84</xdr:row>
      <xdr:rowOff>71438</xdr:rowOff>
    </xdr:to>
    <xdr:pic>
      <xdr:nvPicPr>
        <xdr:cNvPr id="82" name="Picture 81" descr="ADMIN.jpeg.jpe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43675" y="16944975"/>
          <a:ext cx="861061" cy="623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indicapolyplast11@rediffmail.com" TargetMode="External"/><Relationship Id="rId1" Type="http://schemas.openxmlformats.org/officeDocument/2006/relationships/hyperlink" Target="mailto:bindicapolyplast@gmail.com,,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5"/>
  <sheetViews>
    <sheetView tabSelected="1" topLeftCell="A16" workbookViewId="0">
      <selection activeCell="A15" sqref="A15"/>
    </sheetView>
  </sheetViews>
  <sheetFormatPr defaultRowHeight="14.4" x14ac:dyDescent="0.3"/>
  <cols>
    <col min="1" max="1" width="9.33203125" customWidth="1"/>
    <col min="2" max="2" width="63.44140625" customWidth="1"/>
    <col min="3" max="3" width="11" customWidth="1"/>
    <col min="4" max="4" width="8.109375" customWidth="1"/>
    <col min="5" max="5" width="11.44140625" customWidth="1"/>
    <col min="6" max="6" width="10.44140625" customWidth="1"/>
    <col min="7" max="7" width="16.6640625" customWidth="1"/>
    <col min="8" max="8" width="14.44140625" customWidth="1"/>
  </cols>
  <sheetData>
    <row r="2" spans="1:7" x14ac:dyDescent="0.3">
      <c r="A2" t="s">
        <v>0</v>
      </c>
    </row>
    <row r="3" spans="1:7" x14ac:dyDescent="0.3">
      <c r="D3" s="14"/>
    </row>
    <row r="4" spans="1:7" x14ac:dyDescent="0.3">
      <c r="D4" s="14" t="s">
        <v>1</v>
      </c>
      <c r="E4" t="s">
        <v>33</v>
      </c>
    </row>
    <row r="5" spans="1:7" x14ac:dyDescent="0.3">
      <c r="D5" s="14" t="s">
        <v>2</v>
      </c>
      <c r="E5" s="33" t="s">
        <v>31</v>
      </c>
    </row>
    <row r="6" spans="1:7" x14ac:dyDescent="0.3">
      <c r="E6" s="33" t="s">
        <v>32</v>
      </c>
    </row>
    <row r="8" spans="1:7" x14ac:dyDescent="0.3">
      <c r="D8" t="s">
        <v>3</v>
      </c>
      <c r="E8" t="s">
        <v>15</v>
      </c>
    </row>
    <row r="9" spans="1:7" ht="18" x14ac:dyDescent="0.35">
      <c r="B9" s="1" t="s">
        <v>4</v>
      </c>
      <c r="D9" t="s">
        <v>16</v>
      </c>
    </row>
    <row r="10" spans="1:7" x14ac:dyDescent="0.3">
      <c r="D10" t="s">
        <v>30</v>
      </c>
    </row>
    <row r="11" spans="1:7" ht="21" x14ac:dyDescent="0.4">
      <c r="A11" s="2"/>
      <c r="B11" s="3" t="s">
        <v>23</v>
      </c>
      <c r="C11" s="4"/>
      <c r="D11" s="4"/>
      <c r="E11" s="4"/>
      <c r="F11" s="2"/>
    </row>
    <row r="14" spans="1:7" ht="25.8" x14ac:dyDescent="0.5">
      <c r="B14" s="34" t="s">
        <v>34</v>
      </c>
      <c r="C14" s="10"/>
    </row>
    <row r="15" spans="1:7" ht="15.6" x14ac:dyDescent="0.3">
      <c r="A15" s="7" t="s">
        <v>74</v>
      </c>
      <c r="B15" s="11"/>
      <c r="C15" s="6"/>
      <c r="D15" s="5"/>
      <c r="E15" s="5"/>
      <c r="F15" s="5" t="s">
        <v>73</v>
      </c>
      <c r="G15" s="5"/>
    </row>
    <row r="16" spans="1:7" ht="15.6" x14ac:dyDescent="0.3">
      <c r="A16" s="19" t="s">
        <v>14</v>
      </c>
      <c r="B16" s="6"/>
      <c r="C16" s="6"/>
      <c r="D16" s="5"/>
      <c r="E16" s="5"/>
      <c r="F16" s="5"/>
      <c r="G16" s="5"/>
    </row>
    <row r="17" spans="1:7" ht="15.6" x14ac:dyDescent="0.3">
      <c r="A17" s="5"/>
      <c r="B17" s="6" t="s">
        <v>41</v>
      </c>
      <c r="C17" s="6"/>
      <c r="D17" s="5"/>
      <c r="E17" s="5"/>
      <c r="F17" s="5"/>
      <c r="G17" s="5"/>
    </row>
    <row r="18" spans="1:7" ht="15.6" x14ac:dyDescent="0.3">
      <c r="A18" s="5"/>
      <c r="B18" s="6"/>
      <c r="C18" s="6"/>
      <c r="D18" s="5"/>
      <c r="E18" s="5"/>
      <c r="F18" s="5"/>
      <c r="G18" s="5"/>
    </row>
    <row r="19" spans="1:7" ht="15.6" x14ac:dyDescent="0.3">
      <c r="A19" s="5"/>
      <c r="B19" s="6" t="s">
        <v>42</v>
      </c>
      <c r="C19" s="6"/>
      <c r="D19" s="5"/>
      <c r="E19" s="5"/>
      <c r="F19" s="5"/>
      <c r="G19" s="5"/>
    </row>
    <row r="20" spans="1:7" ht="15.6" x14ac:dyDescent="0.3">
      <c r="A20" s="5"/>
      <c r="B20" s="6"/>
      <c r="C20" s="6"/>
      <c r="D20" s="5"/>
      <c r="E20" s="5"/>
      <c r="F20" s="5"/>
      <c r="G20" s="5"/>
    </row>
    <row r="21" spans="1:7" ht="15.6" x14ac:dyDescent="0.3">
      <c r="A21" s="5"/>
      <c r="B21" s="6"/>
      <c r="C21" s="6"/>
      <c r="D21" s="5"/>
      <c r="E21" s="5"/>
      <c r="F21" s="5"/>
      <c r="G21" s="5"/>
    </row>
    <row r="22" spans="1:7" x14ac:dyDescent="0.3">
      <c r="A22" s="5"/>
      <c r="B22" s="5" t="s">
        <v>43</v>
      </c>
      <c r="C22" s="5"/>
      <c r="D22" s="5"/>
      <c r="E22" s="5"/>
      <c r="F22" s="18"/>
      <c r="G22" s="18"/>
    </row>
    <row r="23" spans="1:7" x14ac:dyDescent="0.3">
      <c r="A23" s="5"/>
      <c r="B23" s="5" t="s">
        <v>44</v>
      </c>
      <c r="C23" s="5"/>
      <c r="D23" s="5"/>
      <c r="E23" s="5"/>
      <c r="F23" s="5"/>
      <c r="G23" s="5"/>
    </row>
    <row r="24" spans="1:7" x14ac:dyDescent="0.3">
      <c r="A24" s="7" t="s">
        <v>5</v>
      </c>
      <c r="B24" s="5"/>
      <c r="C24" s="5"/>
      <c r="D24" s="5"/>
      <c r="E24" s="5"/>
      <c r="F24" s="5"/>
      <c r="G24" s="5"/>
    </row>
    <row r="25" spans="1:7" x14ac:dyDescent="0.3">
      <c r="A25" s="7" t="s">
        <v>6</v>
      </c>
      <c r="B25" s="5"/>
      <c r="C25" s="7"/>
      <c r="D25" s="5"/>
      <c r="E25" s="5"/>
      <c r="F25" s="5"/>
      <c r="G25" s="5"/>
    </row>
    <row r="27" spans="1:7" x14ac:dyDescent="0.3">
      <c r="A27" s="9" t="s">
        <v>18</v>
      </c>
      <c r="B27" s="16" t="s">
        <v>19</v>
      </c>
      <c r="C27" s="9" t="s">
        <v>20</v>
      </c>
      <c r="D27" s="16" t="s">
        <v>21</v>
      </c>
      <c r="E27" s="9" t="s">
        <v>22</v>
      </c>
      <c r="F27" s="16" t="s">
        <v>17</v>
      </c>
      <c r="G27" s="9" t="s">
        <v>13</v>
      </c>
    </row>
    <row r="28" spans="1:7" ht="15.6" x14ac:dyDescent="0.3">
      <c r="A28" s="48">
        <v>1</v>
      </c>
      <c r="B28" s="36" t="s">
        <v>45</v>
      </c>
      <c r="C28" s="20">
        <v>84198910</v>
      </c>
      <c r="D28" s="47">
        <v>1</v>
      </c>
      <c r="E28" s="43">
        <v>68500</v>
      </c>
      <c r="F28" s="37" t="s">
        <v>25</v>
      </c>
      <c r="G28" s="38">
        <f>SUM(D28*E28)</f>
        <v>68500</v>
      </c>
    </row>
    <row r="29" spans="1:7" ht="15.6" x14ac:dyDescent="0.3">
      <c r="A29" s="35"/>
      <c r="B29" s="39" t="s">
        <v>46</v>
      </c>
      <c r="C29" s="35"/>
      <c r="D29" s="36"/>
      <c r="E29" s="43"/>
      <c r="F29" s="37"/>
      <c r="G29" s="38"/>
    </row>
    <row r="30" spans="1:7" ht="15.6" x14ac:dyDescent="0.3">
      <c r="A30" s="35"/>
      <c r="B30" s="39" t="s">
        <v>47</v>
      </c>
      <c r="C30" s="35"/>
      <c r="D30" s="36"/>
      <c r="E30" s="43"/>
      <c r="F30" s="37"/>
      <c r="G30" s="38"/>
    </row>
    <row r="31" spans="1:7" ht="15.6" x14ac:dyDescent="0.3">
      <c r="A31" s="35"/>
      <c r="B31" s="39" t="s">
        <v>39</v>
      </c>
      <c r="C31" s="35"/>
      <c r="D31" s="36"/>
      <c r="E31" s="43"/>
      <c r="F31" s="37"/>
      <c r="G31" s="38"/>
    </row>
    <row r="32" spans="1:7" ht="15.6" x14ac:dyDescent="0.3">
      <c r="A32" s="35"/>
      <c r="B32" s="39" t="s">
        <v>37</v>
      </c>
      <c r="C32" s="35"/>
      <c r="D32" s="36"/>
      <c r="E32" s="43"/>
      <c r="F32" s="37"/>
      <c r="G32" s="38"/>
    </row>
    <row r="33" spans="1:7" ht="15.6" x14ac:dyDescent="0.3">
      <c r="A33" s="35"/>
      <c r="B33" s="39" t="s">
        <v>38</v>
      </c>
      <c r="C33" s="35"/>
      <c r="D33" s="36"/>
      <c r="E33" s="43"/>
      <c r="F33" s="37"/>
      <c r="G33" s="38"/>
    </row>
    <row r="34" spans="1:7" ht="15.6" x14ac:dyDescent="0.3">
      <c r="A34" s="35"/>
      <c r="B34" s="39" t="s">
        <v>35</v>
      </c>
      <c r="C34" s="35"/>
      <c r="D34" s="36"/>
      <c r="E34" s="43"/>
      <c r="F34" s="37"/>
      <c r="G34" s="38"/>
    </row>
    <row r="35" spans="1:7" ht="15.6" x14ac:dyDescent="0.3">
      <c r="A35" s="35"/>
      <c r="B35" s="39" t="s">
        <v>48</v>
      </c>
      <c r="C35" s="35"/>
      <c r="D35" s="36"/>
      <c r="E35" s="43"/>
      <c r="F35" s="37"/>
      <c r="G35" s="38"/>
    </row>
    <row r="36" spans="1:7" ht="15.6" x14ac:dyDescent="0.3">
      <c r="A36" s="35"/>
      <c r="B36" s="46" t="s">
        <v>50</v>
      </c>
      <c r="C36" s="35"/>
      <c r="D36" s="36"/>
      <c r="E36" s="43"/>
      <c r="F36" s="37"/>
      <c r="G36" s="38"/>
    </row>
    <row r="37" spans="1:7" ht="15.6" x14ac:dyDescent="0.3">
      <c r="A37" s="35"/>
      <c r="B37" s="46" t="s">
        <v>49</v>
      </c>
      <c r="C37" s="35"/>
      <c r="D37" s="36"/>
      <c r="E37" s="43"/>
      <c r="F37" s="37"/>
      <c r="G37" s="38"/>
    </row>
    <row r="38" spans="1:7" ht="15.6" x14ac:dyDescent="0.3">
      <c r="A38" s="35"/>
      <c r="B38" s="39" t="s">
        <v>36</v>
      </c>
      <c r="C38" s="35"/>
      <c r="D38" s="36"/>
      <c r="E38" s="43"/>
      <c r="F38" s="37"/>
      <c r="G38" s="38"/>
    </row>
    <row r="39" spans="1:7" ht="15.6" x14ac:dyDescent="0.3">
      <c r="A39" s="35"/>
      <c r="B39" s="39" t="s">
        <v>51</v>
      </c>
      <c r="C39" s="35"/>
      <c r="D39" s="36"/>
      <c r="E39" s="43"/>
      <c r="F39" s="37"/>
      <c r="G39" s="38"/>
    </row>
    <row r="40" spans="1:7" ht="15.6" x14ac:dyDescent="0.3">
      <c r="A40" s="35"/>
      <c r="B40" s="39" t="s">
        <v>52</v>
      </c>
      <c r="C40" s="35"/>
      <c r="D40" s="36"/>
      <c r="E40" s="43"/>
      <c r="F40" s="37"/>
      <c r="G40" s="38"/>
    </row>
    <row r="41" spans="1:7" ht="15.6" x14ac:dyDescent="0.3">
      <c r="A41" s="35"/>
      <c r="B41" s="39" t="s">
        <v>53</v>
      </c>
      <c r="C41" s="35"/>
      <c r="D41" s="36"/>
      <c r="E41" s="43"/>
      <c r="F41" s="37"/>
      <c r="G41" s="38"/>
    </row>
    <row r="42" spans="1:7" ht="15.6" x14ac:dyDescent="0.3">
      <c r="A42" s="35"/>
      <c r="B42" s="39" t="s">
        <v>54</v>
      </c>
      <c r="C42" s="35"/>
      <c r="D42" s="36"/>
      <c r="E42" s="43"/>
      <c r="F42" s="37"/>
      <c r="G42" s="38"/>
    </row>
    <row r="43" spans="1:7" ht="15.6" x14ac:dyDescent="0.3">
      <c r="A43" s="48"/>
      <c r="B43" s="36"/>
      <c r="C43" s="35"/>
      <c r="D43" s="47"/>
      <c r="E43" s="43"/>
      <c r="F43" s="37"/>
      <c r="G43" s="38"/>
    </row>
    <row r="44" spans="1:7" ht="15.6" x14ac:dyDescent="0.3">
      <c r="A44" s="48">
        <v>2</v>
      </c>
      <c r="B44" s="36" t="s">
        <v>55</v>
      </c>
      <c r="C44" s="20">
        <v>84198910</v>
      </c>
      <c r="D44" s="47">
        <v>1</v>
      </c>
      <c r="E44" s="43">
        <v>34500</v>
      </c>
      <c r="F44" s="37" t="s">
        <v>25</v>
      </c>
      <c r="G44" s="38">
        <f>SUM(D44*E44)</f>
        <v>34500</v>
      </c>
    </row>
    <row r="45" spans="1:7" ht="15.6" x14ac:dyDescent="0.3">
      <c r="A45" s="48"/>
      <c r="B45" s="50" t="s">
        <v>56</v>
      </c>
      <c r="C45" s="35"/>
      <c r="D45" s="47"/>
      <c r="E45" s="43"/>
      <c r="F45" s="37"/>
      <c r="G45" s="38"/>
    </row>
    <row r="46" spans="1:7" ht="15.6" x14ac:dyDescent="0.3">
      <c r="A46" s="48"/>
      <c r="B46" s="50" t="s">
        <v>57</v>
      </c>
      <c r="C46" s="35"/>
      <c r="D46" s="47"/>
      <c r="E46" s="43"/>
      <c r="F46" s="37"/>
      <c r="G46" s="38"/>
    </row>
    <row r="47" spans="1:7" ht="15.6" x14ac:dyDescent="0.3">
      <c r="A47" s="48"/>
      <c r="B47" s="50" t="s">
        <v>58</v>
      </c>
      <c r="C47" s="35"/>
      <c r="D47" s="47"/>
      <c r="E47" s="43"/>
      <c r="F47" s="37"/>
      <c r="G47" s="38"/>
    </row>
    <row r="48" spans="1:7" ht="15.6" x14ac:dyDescent="0.3">
      <c r="A48" s="48"/>
      <c r="B48" s="50" t="s">
        <v>59</v>
      </c>
      <c r="C48" s="35"/>
      <c r="D48" s="47"/>
      <c r="E48" s="43"/>
      <c r="F48" s="37"/>
      <c r="G48" s="38"/>
    </row>
    <row r="49" spans="1:7" ht="15.6" x14ac:dyDescent="0.3">
      <c r="A49" s="48"/>
      <c r="B49" s="50" t="s">
        <v>60</v>
      </c>
      <c r="C49" s="35"/>
      <c r="D49" s="47"/>
      <c r="E49" s="43"/>
      <c r="F49" s="37"/>
      <c r="G49" s="38"/>
    </row>
    <row r="50" spans="1:7" ht="15.6" x14ac:dyDescent="0.3">
      <c r="A50" s="48"/>
      <c r="B50" s="50"/>
      <c r="C50" s="35"/>
      <c r="D50" s="47"/>
      <c r="E50" s="43"/>
      <c r="F50" s="37"/>
      <c r="G50" s="38"/>
    </row>
    <row r="51" spans="1:7" ht="15.6" x14ac:dyDescent="0.3">
      <c r="A51" s="48">
        <v>3</v>
      </c>
      <c r="B51" s="36" t="s">
        <v>66</v>
      </c>
      <c r="C51" s="20">
        <v>84198910</v>
      </c>
      <c r="D51" s="47">
        <v>1</v>
      </c>
      <c r="E51" s="43">
        <v>18500</v>
      </c>
      <c r="F51" s="37" t="s">
        <v>25</v>
      </c>
      <c r="G51" s="38">
        <f>SUM(D51*E51)</f>
        <v>18500</v>
      </c>
    </row>
    <row r="52" spans="1:7" ht="15.6" x14ac:dyDescent="0.3">
      <c r="A52" s="48"/>
      <c r="B52" s="50" t="s">
        <v>67</v>
      </c>
      <c r="C52" s="20"/>
      <c r="D52" s="47"/>
      <c r="E52" s="43"/>
      <c r="F52" s="37"/>
      <c r="G52" s="38"/>
    </row>
    <row r="53" spans="1:7" ht="15.6" x14ac:dyDescent="0.3">
      <c r="A53" s="48"/>
      <c r="B53" s="50" t="s">
        <v>61</v>
      </c>
      <c r="C53" s="35"/>
      <c r="D53" s="47"/>
      <c r="E53" s="43"/>
      <c r="F53" s="37"/>
      <c r="G53" s="38"/>
    </row>
    <row r="54" spans="1:7" ht="15.6" x14ac:dyDescent="0.3">
      <c r="A54" s="48"/>
      <c r="B54" s="50" t="s">
        <v>62</v>
      </c>
      <c r="C54" s="35"/>
      <c r="D54" s="47"/>
      <c r="E54" s="43"/>
      <c r="F54" s="37"/>
      <c r="G54" s="38"/>
    </row>
    <row r="55" spans="1:7" ht="17.399999999999999" x14ac:dyDescent="0.3">
      <c r="A55" s="48"/>
      <c r="B55" s="50" t="s">
        <v>63</v>
      </c>
      <c r="C55" s="35"/>
      <c r="D55" s="47"/>
      <c r="E55" s="43"/>
      <c r="F55" s="37"/>
      <c r="G55" s="38"/>
    </row>
    <row r="56" spans="1:7" ht="15.6" x14ac:dyDescent="0.3">
      <c r="A56" s="48"/>
      <c r="B56" s="50" t="s">
        <v>64</v>
      </c>
      <c r="C56" s="35"/>
      <c r="D56" s="47"/>
      <c r="E56" s="43"/>
      <c r="F56" s="37"/>
      <c r="G56" s="38"/>
    </row>
    <row r="57" spans="1:7" ht="15.6" x14ac:dyDescent="0.3">
      <c r="A57" s="48"/>
      <c r="B57" s="50" t="s">
        <v>65</v>
      </c>
      <c r="C57" s="35"/>
      <c r="D57" s="47"/>
      <c r="E57" s="43"/>
      <c r="F57" s="37"/>
      <c r="G57" s="38"/>
    </row>
    <row r="58" spans="1:7" ht="15.6" x14ac:dyDescent="0.3">
      <c r="A58" s="48"/>
      <c r="C58" s="35"/>
      <c r="D58" s="47"/>
      <c r="E58" s="43"/>
      <c r="F58" s="37"/>
      <c r="G58" s="38"/>
    </row>
    <row r="59" spans="1:7" ht="15.6" x14ac:dyDescent="0.3">
      <c r="A59" s="48"/>
      <c r="B59" s="36"/>
      <c r="C59" s="35"/>
      <c r="D59" s="47"/>
      <c r="E59" s="43"/>
      <c r="F59" s="37"/>
      <c r="G59" s="38"/>
    </row>
    <row r="60" spans="1:7" ht="15.6" x14ac:dyDescent="0.3">
      <c r="A60" s="48"/>
      <c r="B60" s="36" t="s">
        <v>68</v>
      </c>
      <c r="C60" s="35"/>
      <c r="D60" s="47"/>
      <c r="E60" s="43"/>
      <c r="F60" s="37"/>
      <c r="G60" s="38"/>
    </row>
    <row r="61" spans="1:7" ht="31.2" x14ac:dyDescent="0.3">
      <c r="A61" s="48"/>
      <c r="B61" s="32" t="s">
        <v>70</v>
      </c>
      <c r="C61" s="35"/>
      <c r="D61" s="47"/>
      <c r="E61" s="43"/>
      <c r="F61" s="37"/>
      <c r="G61" s="38"/>
    </row>
    <row r="62" spans="1:7" ht="15.6" x14ac:dyDescent="0.3">
      <c r="A62" s="48"/>
      <c r="B62" s="36"/>
      <c r="C62" s="35"/>
      <c r="D62" s="47"/>
      <c r="E62" s="43"/>
      <c r="F62" s="37"/>
      <c r="G62" s="38"/>
    </row>
    <row r="63" spans="1:7" ht="18" x14ac:dyDescent="0.35">
      <c r="A63" s="8"/>
      <c r="B63" s="17"/>
      <c r="C63" s="8"/>
      <c r="D63" s="10"/>
      <c r="E63" s="51" t="s">
        <v>29</v>
      </c>
      <c r="F63" s="15"/>
      <c r="G63" s="41">
        <f>SUM(G28:G57)</f>
        <v>121500</v>
      </c>
    </row>
    <row r="64" spans="1:7" ht="15.6" x14ac:dyDescent="0.3">
      <c r="A64" s="8"/>
      <c r="B64" s="17"/>
      <c r="C64" s="8"/>
      <c r="D64" s="10"/>
      <c r="E64" s="40"/>
      <c r="F64" s="24"/>
      <c r="G64" s="25"/>
    </row>
    <row r="65" spans="1:7" ht="18" x14ac:dyDescent="0.35">
      <c r="A65" s="8"/>
      <c r="B65" s="17"/>
      <c r="C65" s="8"/>
      <c r="D65" s="10"/>
      <c r="E65" s="51"/>
      <c r="F65" s="52"/>
      <c r="G65" s="53"/>
    </row>
    <row r="66" spans="1:7" ht="18" x14ac:dyDescent="0.35">
      <c r="A66" s="8"/>
      <c r="B66" s="17"/>
      <c r="C66" s="8"/>
      <c r="D66" s="10"/>
      <c r="E66" s="59" t="s">
        <v>71</v>
      </c>
      <c r="F66" s="60">
        <v>0.1</v>
      </c>
      <c r="G66" s="61">
        <f>SUM(G63*F66)</f>
        <v>12150</v>
      </c>
    </row>
    <row r="67" spans="1:7" ht="18" x14ac:dyDescent="0.35">
      <c r="A67" s="8"/>
      <c r="B67" s="17"/>
      <c r="C67" s="8"/>
      <c r="D67" s="10"/>
      <c r="E67" s="51"/>
      <c r="F67" s="52"/>
      <c r="G67" s="51"/>
    </row>
    <row r="68" spans="1:7" ht="18" x14ac:dyDescent="0.35">
      <c r="A68" s="8"/>
      <c r="B68" s="17"/>
      <c r="C68" s="8"/>
      <c r="D68" s="10"/>
      <c r="E68" s="54" t="s">
        <v>72</v>
      </c>
      <c r="F68" s="55"/>
      <c r="G68" s="56">
        <f>SUM(G63-G66)</f>
        <v>109350</v>
      </c>
    </row>
    <row r="69" spans="1:7" ht="15.6" x14ac:dyDescent="0.3">
      <c r="A69" s="8"/>
      <c r="B69" s="17"/>
      <c r="C69" s="8"/>
      <c r="D69" s="10"/>
      <c r="E69" s="20"/>
      <c r="F69" s="15"/>
      <c r="G69" s="8"/>
    </row>
    <row r="70" spans="1:7" ht="18" x14ac:dyDescent="0.35">
      <c r="A70" s="8"/>
      <c r="C70" s="8"/>
      <c r="D70" s="10"/>
      <c r="E70" s="57" t="s">
        <v>69</v>
      </c>
      <c r="F70" s="58">
        <v>0.18</v>
      </c>
      <c r="G70" s="56">
        <f>SUM(G68*F70)</f>
        <v>19683</v>
      </c>
    </row>
    <row r="71" spans="1:7" ht="15.6" x14ac:dyDescent="0.3">
      <c r="A71" s="8"/>
      <c r="C71" s="8"/>
      <c r="D71" s="10"/>
      <c r="E71" s="44"/>
      <c r="F71" s="45"/>
      <c r="G71" s="38"/>
    </row>
    <row r="72" spans="1:7" ht="15.6" x14ac:dyDescent="0.3">
      <c r="A72" s="8"/>
      <c r="C72" s="8"/>
      <c r="D72" s="10"/>
      <c r="E72" s="44"/>
      <c r="F72" s="45"/>
      <c r="G72" s="38"/>
    </row>
    <row r="73" spans="1:7" ht="15.6" x14ac:dyDescent="0.3">
      <c r="A73" s="8"/>
      <c r="C73" s="8"/>
      <c r="D73" s="10"/>
      <c r="E73" s="42"/>
      <c r="F73" s="12"/>
      <c r="G73" s="13"/>
    </row>
    <row r="74" spans="1:7" ht="34.799999999999997" x14ac:dyDescent="0.3">
      <c r="A74" s="25"/>
      <c r="B74" s="26"/>
      <c r="C74" s="25"/>
      <c r="D74" s="27"/>
      <c r="E74" s="21" t="s">
        <v>28</v>
      </c>
      <c r="F74" s="22"/>
      <c r="G74" s="23">
        <f>SUM(G68+G70)</f>
        <v>129033</v>
      </c>
    </row>
    <row r="75" spans="1:7" x14ac:dyDescent="0.3">
      <c r="E75" s="28"/>
      <c r="F75" s="30"/>
      <c r="G75" s="31"/>
    </row>
    <row r="76" spans="1:7" x14ac:dyDescent="0.3">
      <c r="A76" s="7" t="s">
        <v>7</v>
      </c>
      <c r="B76" s="5"/>
      <c r="C76" s="7"/>
      <c r="D76" s="7"/>
      <c r="E76" s="29"/>
      <c r="F76" s="7"/>
      <c r="G76" s="7"/>
    </row>
    <row r="77" spans="1:7" x14ac:dyDescent="0.3">
      <c r="A77" s="7" t="s">
        <v>8</v>
      </c>
      <c r="B77" s="5"/>
      <c r="C77" s="7"/>
      <c r="D77" s="7"/>
      <c r="E77" s="7"/>
      <c r="F77" s="7"/>
      <c r="G77" s="7"/>
    </row>
    <row r="78" spans="1:7" x14ac:dyDescent="0.3">
      <c r="A78" s="7" t="s">
        <v>9</v>
      </c>
      <c r="B78" s="5"/>
      <c r="C78" s="7"/>
      <c r="D78" s="7"/>
      <c r="E78" s="7"/>
      <c r="F78" s="7"/>
      <c r="G78" s="7"/>
    </row>
    <row r="79" spans="1:7" x14ac:dyDescent="0.3">
      <c r="A79" s="7" t="s">
        <v>24</v>
      </c>
      <c r="B79" s="5"/>
      <c r="C79" s="7"/>
      <c r="D79" s="7"/>
      <c r="E79" s="7"/>
      <c r="F79" s="7"/>
      <c r="G79" s="7"/>
    </row>
    <row r="80" spans="1:7" x14ac:dyDescent="0.3">
      <c r="A80" s="49" t="s">
        <v>26</v>
      </c>
      <c r="B80" s="5"/>
      <c r="C80" s="7"/>
      <c r="D80" s="7"/>
      <c r="E80" s="7"/>
      <c r="F80" s="7"/>
      <c r="G80" s="7"/>
    </row>
    <row r="81" spans="1:8" x14ac:dyDescent="0.3">
      <c r="A81" s="7" t="s">
        <v>40</v>
      </c>
      <c r="B81" s="5"/>
      <c r="C81" s="7"/>
      <c r="D81" s="7"/>
      <c r="E81" s="7" t="s">
        <v>10</v>
      </c>
      <c r="F81" s="7"/>
      <c r="H81" s="7"/>
    </row>
    <row r="82" spans="1:8" x14ac:dyDescent="0.3">
      <c r="A82" s="7" t="s">
        <v>27</v>
      </c>
      <c r="B82" s="5"/>
      <c r="C82" s="7"/>
      <c r="D82" s="7"/>
      <c r="E82" s="7"/>
      <c r="F82" s="7"/>
      <c r="H82" s="7"/>
    </row>
    <row r="83" spans="1:8" x14ac:dyDescent="0.3">
      <c r="A83" s="7"/>
      <c r="B83" s="5"/>
      <c r="C83" s="7"/>
      <c r="D83" s="7"/>
      <c r="E83" s="7"/>
      <c r="F83" s="7"/>
      <c r="H83" s="7"/>
    </row>
    <row r="84" spans="1:8" x14ac:dyDescent="0.3">
      <c r="A84" s="7" t="s">
        <v>11</v>
      </c>
      <c r="B84" s="5"/>
      <c r="C84" s="7"/>
      <c r="D84" s="7"/>
      <c r="E84" s="7"/>
      <c r="F84" s="7"/>
      <c r="H84" s="7"/>
    </row>
    <row r="85" spans="1:8" x14ac:dyDescent="0.3">
      <c r="A85" s="7"/>
      <c r="B85" s="5"/>
      <c r="C85" s="7"/>
      <c r="D85" s="7"/>
      <c r="E85" s="7" t="s">
        <v>12</v>
      </c>
      <c r="F85" s="7"/>
      <c r="H85" s="7"/>
    </row>
  </sheetData>
  <hyperlinks>
    <hyperlink ref="E5" r:id="rId1" xr:uid="{00000000-0004-0000-0000-000000000000}"/>
    <hyperlink ref="E6" r:id="rId2" xr:uid="{00000000-0004-0000-0000-000001000000}"/>
  </hyperlinks>
  <pageMargins left="0.16" right="0.23" top="2.56" bottom="0.74803149606299213" header="0.12" footer="0.31496062992125984"/>
  <pageSetup scale="80" orientation="portrait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2024-04-10T04:55:17Z</dcterms:modified>
</cp:coreProperties>
</file>