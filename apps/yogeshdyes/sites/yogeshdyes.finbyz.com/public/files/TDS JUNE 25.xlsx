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IDDHI WORK\MONTHALY WORK\TDS WORKING\F.Y 2025-26\3. JUN 25\"/>
    </mc:Choice>
  </mc:AlternateContent>
  <xr:revisionPtr revIDLastSave="0" documentId="13_ncr:1_{B2E6BC90-C598-41F8-B78D-6DE52A66B4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uery Report" sheetId="1" r:id="rId1"/>
  </sheets>
  <definedNames>
    <definedName name="_xlnm._FilterDatabase" localSheetId="0" hidden="1">'Query Report'!$A$2:$J$29</definedName>
  </definedNames>
  <calcPr calcId="181029"/>
</workbook>
</file>

<file path=xl/calcChain.xml><?xml version="1.0" encoding="utf-8"?>
<calcChain xmlns="http://schemas.openxmlformats.org/spreadsheetml/2006/main">
  <c r="H29" i="1" l="1"/>
  <c r="I4" i="1"/>
  <c r="I5" i="1"/>
  <c r="I6" i="1"/>
  <c r="I7" i="1"/>
  <c r="I8" i="1"/>
  <c r="I9" i="1"/>
  <c r="I10" i="1"/>
  <c r="I11" i="1"/>
  <c r="I12" i="1"/>
  <c r="J12" i="1" s="1"/>
  <c r="J29" i="1" s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" i="1"/>
  <c r="I29" i="1" l="1"/>
</calcChain>
</file>

<file path=xl/sharedStrings.xml><?xml version="1.0" encoding="utf-8"?>
<sst xmlns="http://schemas.openxmlformats.org/spreadsheetml/2006/main" count="140" uniqueCount="73">
  <si>
    <t>Section Code</t>
  </si>
  <si>
    <t>Pan</t>
  </si>
  <si>
    <t>Supplier</t>
  </si>
  <si>
    <t>Entity Type</t>
  </si>
  <si>
    <t>Supplier Invoice No</t>
  </si>
  <si>
    <t>TDS Rate %</t>
  </si>
  <si>
    <t>Base Total</t>
  </si>
  <si>
    <t>TDS Amount</t>
  </si>
  <si>
    <t>Grand Total</t>
  </si>
  <si>
    <t>Individual</t>
  </si>
  <si>
    <t>TDS - 194C - Company</t>
  </si>
  <si>
    <t>AAVFP5886C</t>
  </si>
  <si>
    <t>PHOENIX ENTERPRISE</t>
  </si>
  <si>
    <t>Company</t>
  </si>
  <si>
    <t>137/2025-26</t>
  </si>
  <si>
    <t>AAACB0446L</t>
  </si>
  <si>
    <t>BLUE DART EXPRESS LIMITED</t>
  </si>
  <si>
    <t>2025627R00008246</t>
  </si>
  <si>
    <t>2025627R00008245</t>
  </si>
  <si>
    <t>AAVCS8513N1</t>
  </si>
  <si>
    <t>SAFE ENVIRO PVT LTD</t>
  </si>
  <si>
    <t>RV2425202290</t>
  </si>
  <si>
    <t>RV2425202213</t>
  </si>
  <si>
    <t>RV242520131</t>
  </si>
  <si>
    <t>RV2425201978</t>
  </si>
  <si>
    <t>RV2425201736</t>
  </si>
  <si>
    <t>TDS - 194C - Individual</t>
  </si>
  <si>
    <t>ELAPS2374J</t>
  </si>
  <si>
    <t>New Sahara Crane Service</t>
  </si>
  <si>
    <t>2025-26/061</t>
  </si>
  <si>
    <t>ARRPR7871A</t>
  </si>
  <si>
    <t>Allport Global Logistics Services</t>
  </si>
  <si>
    <t>AGLS-0028-25-26</t>
  </si>
  <si>
    <t>AXOPG1697C</t>
  </si>
  <si>
    <t>V.P. Enterprises</t>
  </si>
  <si>
    <t>VPE-075/2526</t>
  </si>
  <si>
    <t>BPTPG2344Q</t>
  </si>
  <si>
    <t>SHREYA ROADWAYS</t>
  </si>
  <si>
    <t>35/2025-2026</t>
  </si>
  <si>
    <t>FMUPS1202K</t>
  </si>
  <si>
    <t>S S Engineering</t>
  </si>
  <si>
    <t>GST-25/26/08</t>
  </si>
  <si>
    <t>32/2025-2026</t>
  </si>
  <si>
    <t>2025-26/055</t>
  </si>
  <si>
    <t>29/2025-2026</t>
  </si>
  <si>
    <t>BRNPM6298K</t>
  </si>
  <si>
    <t>SANIYA ENTERPRISES</t>
  </si>
  <si>
    <t>GST.07/2025-2026</t>
  </si>
  <si>
    <t>BUFPM1092Q</t>
  </si>
  <si>
    <t>Sudha Enterprises</t>
  </si>
  <si>
    <t xml:space="preserve">006/ for the month of April </t>
  </si>
  <si>
    <t>AAJPS6962N</t>
  </si>
  <si>
    <t>SPARE TECH SERVICES</t>
  </si>
  <si>
    <t>SER/0042/25-26</t>
  </si>
  <si>
    <t>SER/0043/25-26</t>
  </si>
  <si>
    <t>APEPG1427N</t>
  </si>
  <si>
    <t>ANJANI ENTERPRISE</t>
  </si>
  <si>
    <t>2025-2026/06</t>
  </si>
  <si>
    <t>APFPT8745R</t>
  </si>
  <si>
    <t>Durga Enterprise</t>
  </si>
  <si>
    <t>DE-07/2025-2026</t>
  </si>
  <si>
    <t>BIDPP1545B</t>
  </si>
  <si>
    <t>SURAJ DIESEL SERVICE</t>
  </si>
  <si>
    <t>2025-26/TAX/136</t>
  </si>
  <si>
    <t>TDS - 194I - Rent - Individual</t>
  </si>
  <si>
    <t>BPOPS7388H</t>
  </si>
  <si>
    <t>GHANSHYAMSINH P SINDHA</t>
  </si>
  <si>
    <t>GH-02</t>
  </si>
  <si>
    <t>Total</t>
  </si>
  <si>
    <t>TDS - 194A - Company</t>
  </si>
  <si>
    <t>AABCA8919N</t>
  </si>
  <si>
    <t>ASHA DYESTUFF INDUSTRIES PVT LTD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</si>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</sst>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5" fontId="2" fillId="0" borderId="0" xfId="0" applyNumberFormat="1" applyFont="1"/>
    <xf numFmtId="0" fontId="2" fillId="0" borderId="0" xfId="0" applyFont="1"/>
    <xf numFmtId="164" fontId="2" fillId="0" borderId="0" xfId="1" applyNumberFormat="1" applyFont="1"/>
    <xf numFmtId="165" fontId="3" fillId="0" borderId="1" xfId="0" applyNumberFormat="1" applyFont="1" applyBorder="1"/>
    <xf numFmtId="0" fontId="3" fillId="0" borderId="1" xfId="0" applyFont="1" applyBorder="1"/>
    <xf numFmtId="164" fontId="3" fillId="0" borderId="1" xfId="1" applyNumberFormat="1" applyFont="1" applyBorder="1"/>
    <xf numFmtId="0" fontId="4" fillId="0" borderId="0" xfId="0" applyFont="1"/>
    <xf numFmtId="165" fontId="2" fillId="0" borderId="1" xfId="0" applyNumberFormat="1" applyFont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9"/>
  <sheetViews>
    <sheetView tabSelected="1" zoomScaleNormal="100" workbookViewId="0">
      <selection activeCell="E2" sqref="E2"/>
    </sheetView>
  </sheetViews>
  <sheetFormatPr defaultRowHeight="15.6" x14ac:dyDescent="0.3"/>
  <cols>
    <col min="1" max="1" width="16" style="1" bestFit="1" customWidth="1"/>
    <col min="2" max="2" width="34" style="2" bestFit="1" customWidth="1"/>
    <col min="3" max="3" width="19.21875" style="2" bestFit="1" customWidth="1"/>
    <col min="4" max="4" width="32" style="2" bestFit="1" customWidth="1"/>
    <col min="5" max="5" width="12.21875" style="2" bestFit="1" customWidth="1"/>
    <col min="6" max="6" width="23.6640625" style="2" bestFit="1" customWidth="1"/>
    <col min="7" max="7" width="12.6640625" style="2" bestFit="1" customWidth="1"/>
    <col min="8" max="8" width="17.109375" style="3" bestFit="1" customWidth="1"/>
    <col min="9" max="9" width="12.88671875" style="3" bestFit="1" customWidth="1"/>
    <col min="10" max="10" width="18.88671875" style="3" bestFit="1" customWidth="1"/>
    <col min="11" max="16384" width="8.88671875" style="2"/>
  </cols>
  <sheetData>
    <row r="2" spans="1:10" s="7" customFormat="1" x14ac:dyDescent="0.3">
      <c r="A2" s="4" t="s">
        <v>72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 t="s">
        <v>6</v>
      </c>
      <c r="I2" s="6" t="s">
        <v>7</v>
      </c>
      <c r="J2" s="6" t="s">
        <v>8</v>
      </c>
    </row>
    <row r="3" spans="1:10" x14ac:dyDescent="0.3">
      <c r="A3" s="8">
        <v>45809</v>
      </c>
      <c r="B3" s="9" t="s">
        <v>26</v>
      </c>
      <c r="C3" s="9" t="s">
        <v>48</v>
      </c>
      <c r="D3" s="9" t="s">
        <v>49</v>
      </c>
      <c r="E3" s="9" t="s">
        <v>9</v>
      </c>
      <c r="F3" s="9" t="s">
        <v>50</v>
      </c>
      <c r="G3" s="9">
        <v>1</v>
      </c>
      <c r="H3" s="10">
        <v>15416</v>
      </c>
      <c r="I3" s="10">
        <f t="shared" ref="I3:I28" si="0">H3*G3/100</f>
        <v>154.16</v>
      </c>
      <c r="J3" s="10">
        <v>18036.72</v>
      </c>
    </row>
    <row r="4" spans="1:10" x14ac:dyDescent="0.3">
      <c r="A4" s="8">
        <v>45809</v>
      </c>
      <c r="B4" s="9" t="s">
        <v>26</v>
      </c>
      <c r="C4" s="9" t="s">
        <v>48</v>
      </c>
      <c r="D4" s="9" t="s">
        <v>49</v>
      </c>
      <c r="E4" s="9" t="s">
        <v>9</v>
      </c>
      <c r="F4" s="9" t="s">
        <v>42</v>
      </c>
      <c r="G4" s="9">
        <v>1</v>
      </c>
      <c r="H4" s="10">
        <v>27300</v>
      </c>
      <c r="I4" s="10">
        <f t="shared" si="0"/>
        <v>273</v>
      </c>
      <c r="J4" s="10">
        <v>27300</v>
      </c>
    </row>
    <row r="5" spans="1:10" x14ac:dyDescent="0.3">
      <c r="A5" s="8">
        <v>45809</v>
      </c>
      <c r="B5" s="9" t="s">
        <v>26</v>
      </c>
      <c r="C5" s="9" t="s">
        <v>61</v>
      </c>
      <c r="D5" s="9" t="s">
        <v>62</v>
      </c>
      <c r="E5" s="9" t="s">
        <v>9</v>
      </c>
      <c r="F5" s="9" t="s">
        <v>63</v>
      </c>
      <c r="G5" s="9">
        <v>1</v>
      </c>
      <c r="H5" s="10">
        <v>54000</v>
      </c>
      <c r="I5" s="10">
        <f t="shared" si="0"/>
        <v>540</v>
      </c>
      <c r="J5" s="10">
        <v>63180</v>
      </c>
    </row>
    <row r="6" spans="1:10" x14ac:dyDescent="0.3">
      <c r="A6" s="8">
        <v>45810</v>
      </c>
      <c r="B6" s="9" t="s">
        <v>26</v>
      </c>
      <c r="C6" s="9" t="s">
        <v>27</v>
      </c>
      <c r="D6" s="9" t="s">
        <v>28</v>
      </c>
      <c r="E6" s="9" t="s">
        <v>9</v>
      </c>
      <c r="F6" s="9" t="s">
        <v>43</v>
      </c>
      <c r="G6" s="9">
        <v>1</v>
      </c>
      <c r="H6" s="10">
        <v>39400</v>
      </c>
      <c r="I6" s="10">
        <f t="shared" si="0"/>
        <v>394</v>
      </c>
      <c r="J6" s="10">
        <v>46098</v>
      </c>
    </row>
    <row r="7" spans="1:10" x14ac:dyDescent="0.3">
      <c r="A7" s="8">
        <v>45811</v>
      </c>
      <c r="B7" s="9" t="s">
        <v>26</v>
      </c>
      <c r="C7" s="9" t="s">
        <v>51</v>
      </c>
      <c r="D7" s="9" t="s">
        <v>52</v>
      </c>
      <c r="E7" s="9" t="s">
        <v>9</v>
      </c>
      <c r="F7" s="9" t="s">
        <v>53</v>
      </c>
      <c r="G7" s="9">
        <v>1</v>
      </c>
      <c r="H7" s="10">
        <v>1271186.44</v>
      </c>
      <c r="I7" s="10">
        <f t="shared" si="0"/>
        <v>12711.864399999999</v>
      </c>
      <c r="J7" s="10">
        <v>1487288.14</v>
      </c>
    </row>
    <row r="8" spans="1:10" x14ac:dyDescent="0.3">
      <c r="A8" s="8">
        <v>45811</v>
      </c>
      <c r="B8" s="9" t="s">
        <v>26</v>
      </c>
      <c r="C8" s="9" t="s">
        <v>51</v>
      </c>
      <c r="D8" s="9" t="s">
        <v>52</v>
      </c>
      <c r="E8" s="9" t="s">
        <v>9</v>
      </c>
      <c r="F8" s="9" t="s">
        <v>54</v>
      </c>
      <c r="G8" s="9">
        <v>1</v>
      </c>
      <c r="H8" s="10">
        <v>1842184</v>
      </c>
      <c r="I8" s="10">
        <f t="shared" si="0"/>
        <v>18421.84</v>
      </c>
      <c r="J8" s="10">
        <v>2155355.2799999998</v>
      </c>
    </row>
    <row r="9" spans="1:10" x14ac:dyDescent="0.3">
      <c r="A9" s="8">
        <v>45811</v>
      </c>
      <c r="B9" s="9" t="s">
        <v>26</v>
      </c>
      <c r="C9" s="9" t="s">
        <v>55</v>
      </c>
      <c r="D9" s="9" t="s">
        <v>56</v>
      </c>
      <c r="E9" s="9" t="s">
        <v>9</v>
      </c>
      <c r="F9" s="9" t="s">
        <v>57</v>
      </c>
      <c r="G9" s="9">
        <v>1</v>
      </c>
      <c r="H9" s="10">
        <v>672597.28</v>
      </c>
      <c r="I9" s="10">
        <f t="shared" si="0"/>
        <v>6725.9728000000005</v>
      </c>
      <c r="J9" s="10">
        <v>786938.83</v>
      </c>
    </row>
    <row r="10" spans="1:10" x14ac:dyDescent="0.3">
      <c r="A10" s="8">
        <v>45811</v>
      </c>
      <c r="B10" s="9" t="s">
        <v>26</v>
      </c>
      <c r="C10" s="9" t="s">
        <v>58</v>
      </c>
      <c r="D10" s="9" t="s">
        <v>59</v>
      </c>
      <c r="E10" s="9" t="s">
        <v>9</v>
      </c>
      <c r="F10" s="9" t="s">
        <v>60</v>
      </c>
      <c r="G10" s="9">
        <v>1</v>
      </c>
      <c r="H10" s="10">
        <v>961200</v>
      </c>
      <c r="I10" s="10">
        <f t="shared" si="0"/>
        <v>9612</v>
      </c>
      <c r="J10" s="10">
        <v>1124604</v>
      </c>
    </row>
    <row r="11" spans="1:10" x14ac:dyDescent="0.3">
      <c r="A11" s="8">
        <v>45811</v>
      </c>
      <c r="B11" s="9" t="s">
        <v>64</v>
      </c>
      <c r="C11" s="9" t="s">
        <v>65</v>
      </c>
      <c r="D11" s="9" t="s">
        <v>66</v>
      </c>
      <c r="E11" s="9" t="s">
        <v>9</v>
      </c>
      <c r="F11" s="9" t="s">
        <v>67</v>
      </c>
      <c r="G11" s="9">
        <v>10</v>
      </c>
      <c r="H11" s="10">
        <v>35000</v>
      </c>
      <c r="I11" s="10">
        <f t="shared" si="0"/>
        <v>3500</v>
      </c>
      <c r="J11" s="10">
        <v>31500</v>
      </c>
    </row>
    <row r="12" spans="1:10" ht="31.2" x14ac:dyDescent="0.3">
      <c r="A12" s="8">
        <v>45813</v>
      </c>
      <c r="B12" s="9" t="s">
        <v>69</v>
      </c>
      <c r="C12" s="9" t="s">
        <v>70</v>
      </c>
      <c r="D12" s="11" t="s">
        <v>71</v>
      </c>
      <c r="E12" s="9" t="s">
        <v>13</v>
      </c>
      <c r="F12" s="9"/>
      <c r="G12" s="9">
        <v>10</v>
      </c>
      <c r="H12" s="10">
        <v>76500</v>
      </c>
      <c r="I12" s="10">
        <f t="shared" si="0"/>
        <v>7650</v>
      </c>
      <c r="J12" s="10">
        <f>H12+I12</f>
        <v>84150</v>
      </c>
    </row>
    <row r="13" spans="1:10" x14ac:dyDescent="0.3">
      <c r="A13" s="8">
        <v>45813</v>
      </c>
      <c r="B13" s="9" t="s">
        <v>26</v>
      </c>
      <c r="C13" s="9" t="s">
        <v>45</v>
      </c>
      <c r="D13" s="9" t="s">
        <v>46</v>
      </c>
      <c r="E13" s="9" t="s">
        <v>9</v>
      </c>
      <c r="F13" s="9" t="s">
        <v>47</v>
      </c>
      <c r="G13" s="9">
        <v>1</v>
      </c>
      <c r="H13" s="10">
        <v>169903.3</v>
      </c>
      <c r="I13" s="10">
        <f t="shared" si="0"/>
        <v>1699.0329999999999</v>
      </c>
      <c r="J13" s="10">
        <v>198786.87</v>
      </c>
    </row>
    <row r="14" spans="1:10" x14ac:dyDescent="0.3">
      <c r="A14" s="8">
        <v>45814</v>
      </c>
      <c r="B14" s="9" t="s">
        <v>10</v>
      </c>
      <c r="C14" s="9" t="s">
        <v>19</v>
      </c>
      <c r="D14" s="9" t="s">
        <v>20</v>
      </c>
      <c r="E14" s="9" t="s">
        <v>13</v>
      </c>
      <c r="F14" s="9" t="s">
        <v>25</v>
      </c>
      <c r="G14" s="9">
        <v>2</v>
      </c>
      <c r="H14" s="10">
        <v>135342</v>
      </c>
      <c r="I14" s="10">
        <f t="shared" si="0"/>
        <v>2706.84</v>
      </c>
      <c r="J14" s="10">
        <v>156996.72</v>
      </c>
    </row>
    <row r="15" spans="1:10" x14ac:dyDescent="0.3">
      <c r="A15" s="8">
        <v>45814</v>
      </c>
      <c r="B15" s="9" t="s">
        <v>26</v>
      </c>
      <c r="C15" s="9" t="s">
        <v>39</v>
      </c>
      <c r="D15" s="9" t="s">
        <v>40</v>
      </c>
      <c r="E15" s="9" t="s">
        <v>9</v>
      </c>
      <c r="F15" s="9" t="s">
        <v>41</v>
      </c>
      <c r="G15" s="9">
        <v>1</v>
      </c>
      <c r="H15" s="10">
        <v>17150</v>
      </c>
      <c r="I15" s="10">
        <f t="shared" si="0"/>
        <v>171.5</v>
      </c>
      <c r="J15" s="10">
        <v>20065.5</v>
      </c>
    </row>
    <row r="16" spans="1:10" x14ac:dyDescent="0.3">
      <c r="A16" s="8">
        <v>45819</v>
      </c>
      <c r="B16" s="9" t="s">
        <v>10</v>
      </c>
      <c r="C16" s="9" t="s">
        <v>19</v>
      </c>
      <c r="D16" s="9" t="s">
        <v>20</v>
      </c>
      <c r="E16" s="9" t="s">
        <v>13</v>
      </c>
      <c r="F16" s="9" t="s">
        <v>24</v>
      </c>
      <c r="G16" s="9">
        <v>2</v>
      </c>
      <c r="H16" s="10">
        <v>134260.5</v>
      </c>
      <c r="I16" s="10">
        <f t="shared" si="0"/>
        <v>2685.21</v>
      </c>
      <c r="J16" s="10">
        <v>155742.17000000001</v>
      </c>
    </row>
    <row r="17" spans="1:10" x14ac:dyDescent="0.3">
      <c r="A17" s="8">
        <v>45820</v>
      </c>
      <c r="B17" s="9" t="s">
        <v>26</v>
      </c>
      <c r="C17" s="9" t="s">
        <v>36</v>
      </c>
      <c r="D17" s="9" t="s">
        <v>37</v>
      </c>
      <c r="E17" s="9" t="s">
        <v>9</v>
      </c>
      <c r="F17" s="9" t="s">
        <v>44</v>
      </c>
      <c r="G17" s="9">
        <v>1</v>
      </c>
      <c r="H17" s="10">
        <v>114525</v>
      </c>
      <c r="I17" s="10">
        <f t="shared" si="0"/>
        <v>1145.25</v>
      </c>
      <c r="J17" s="10">
        <v>127122.75</v>
      </c>
    </row>
    <row r="18" spans="1:10" x14ac:dyDescent="0.3">
      <c r="A18" s="8">
        <v>45821</v>
      </c>
      <c r="B18" s="9" t="s">
        <v>26</v>
      </c>
      <c r="C18" s="9" t="s">
        <v>33</v>
      </c>
      <c r="D18" s="9" t="s">
        <v>34</v>
      </c>
      <c r="E18" s="9" t="s">
        <v>9</v>
      </c>
      <c r="F18" s="9" t="s">
        <v>35</v>
      </c>
      <c r="G18" s="9">
        <v>1</v>
      </c>
      <c r="H18" s="10">
        <v>24500</v>
      </c>
      <c r="I18" s="10">
        <f t="shared" si="0"/>
        <v>245</v>
      </c>
      <c r="J18" s="10">
        <v>28665</v>
      </c>
    </row>
    <row r="19" spans="1:10" x14ac:dyDescent="0.3">
      <c r="A19" s="8">
        <v>45828</v>
      </c>
      <c r="B19" s="9" t="s">
        <v>10</v>
      </c>
      <c r="C19" s="9" t="s">
        <v>19</v>
      </c>
      <c r="D19" s="9" t="s">
        <v>20</v>
      </c>
      <c r="E19" s="9" t="s">
        <v>13</v>
      </c>
      <c r="F19" s="9" t="s">
        <v>23</v>
      </c>
      <c r="G19" s="9">
        <v>2</v>
      </c>
      <c r="H19" s="10">
        <v>142038</v>
      </c>
      <c r="I19" s="10">
        <f t="shared" si="0"/>
        <v>2840.76</v>
      </c>
      <c r="J19" s="10">
        <v>164764.07999999999</v>
      </c>
    </row>
    <row r="20" spans="1:10" x14ac:dyDescent="0.3">
      <c r="A20" s="8">
        <v>45828</v>
      </c>
      <c r="B20" s="9" t="s">
        <v>26</v>
      </c>
      <c r="C20" s="9" t="s">
        <v>36</v>
      </c>
      <c r="D20" s="9" t="s">
        <v>37</v>
      </c>
      <c r="E20" s="9" t="s">
        <v>9</v>
      </c>
      <c r="F20" s="9" t="s">
        <v>42</v>
      </c>
      <c r="G20" s="9">
        <v>1</v>
      </c>
      <c r="H20" s="10">
        <v>48420</v>
      </c>
      <c r="I20" s="10">
        <f t="shared" si="0"/>
        <v>484.2</v>
      </c>
      <c r="J20" s="10">
        <v>53746.2</v>
      </c>
    </row>
    <row r="21" spans="1:10" x14ac:dyDescent="0.3">
      <c r="A21" s="8">
        <v>45831</v>
      </c>
      <c r="B21" s="9" t="s">
        <v>10</v>
      </c>
      <c r="C21" s="9" t="s">
        <v>19</v>
      </c>
      <c r="D21" s="9" t="s">
        <v>20</v>
      </c>
      <c r="E21" s="9" t="s">
        <v>13</v>
      </c>
      <c r="F21" s="9" t="s">
        <v>22</v>
      </c>
      <c r="G21" s="9">
        <v>2</v>
      </c>
      <c r="H21" s="10">
        <v>129109.5</v>
      </c>
      <c r="I21" s="10">
        <f t="shared" si="0"/>
        <v>2582.19</v>
      </c>
      <c r="J21" s="10">
        <v>149767.01</v>
      </c>
    </row>
    <row r="22" spans="1:10" x14ac:dyDescent="0.3">
      <c r="A22" s="8">
        <v>45835</v>
      </c>
      <c r="B22" s="9" t="s">
        <v>26</v>
      </c>
      <c r="C22" s="9" t="s">
        <v>27</v>
      </c>
      <c r="D22" s="9" t="s">
        <v>28</v>
      </c>
      <c r="E22" s="9" t="s">
        <v>9</v>
      </c>
      <c r="F22" s="9" t="s">
        <v>29</v>
      </c>
      <c r="G22" s="9">
        <v>1</v>
      </c>
      <c r="H22" s="10">
        <v>30000</v>
      </c>
      <c r="I22" s="10">
        <f t="shared" si="0"/>
        <v>300</v>
      </c>
      <c r="J22" s="10">
        <v>35100</v>
      </c>
    </row>
    <row r="23" spans="1:10" x14ac:dyDescent="0.3">
      <c r="A23" s="8">
        <v>45835</v>
      </c>
      <c r="B23" s="9" t="s">
        <v>26</v>
      </c>
      <c r="C23" s="9" t="s">
        <v>36</v>
      </c>
      <c r="D23" s="9" t="s">
        <v>37</v>
      </c>
      <c r="E23" s="9" t="s">
        <v>9</v>
      </c>
      <c r="F23" s="9" t="s">
        <v>38</v>
      </c>
      <c r="G23" s="9">
        <v>1</v>
      </c>
      <c r="H23" s="10">
        <v>45105</v>
      </c>
      <c r="I23" s="10">
        <f t="shared" si="0"/>
        <v>451.05</v>
      </c>
      <c r="J23" s="10">
        <v>50066.55</v>
      </c>
    </row>
    <row r="24" spans="1:10" x14ac:dyDescent="0.3">
      <c r="A24" s="8">
        <v>45838</v>
      </c>
      <c r="B24" s="9" t="s">
        <v>10</v>
      </c>
      <c r="C24" s="9" t="s">
        <v>11</v>
      </c>
      <c r="D24" s="9" t="s">
        <v>12</v>
      </c>
      <c r="E24" s="9" t="s">
        <v>13</v>
      </c>
      <c r="F24" s="9" t="s">
        <v>14</v>
      </c>
      <c r="G24" s="9">
        <v>2</v>
      </c>
      <c r="H24" s="10">
        <v>23140</v>
      </c>
      <c r="I24" s="10">
        <f t="shared" si="0"/>
        <v>462.8</v>
      </c>
      <c r="J24" s="10">
        <v>26842.400000000001</v>
      </c>
    </row>
    <row r="25" spans="1:10" x14ac:dyDescent="0.3">
      <c r="A25" s="8">
        <v>45838</v>
      </c>
      <c r="B25" s="9" t="s">
        <v>10</v>
      </c>
      <c r="C25" s="9" t="s">
        <v>15</v>
      </c>
      <c r="D25" s="9" t="s">
        <v>16</v>
      </c>
      <c r="E25" s="9" t="s">
        <v>13</v>
      </c>
      <c r="F25" s="9" t="s">
        <v>17</v>
      </c>
      <c r="G25" s="9">
        <v>2</v>
      </c>
      <c r="H25" s="10">
        <v>6002.71</v>
      </c>
      <c r="I25" s="10">
        <f t="shared" si="0"/>
        <v>120.05419999999999</v>
      </c>
      <c r="J25" s="10">
        <v>6963.14</v>
      </c>
    </row>
    <row r="26" spans="1:10" x14ac:dyDescent="0.3">
      <c r="A26" s="8">
        <v>45838</v>
      </c>
      <c r="B26" s="9" t="s">
        <v>10</v>
      </c>
      <c r="C26" s="9" t="s">
        <v>15</v>
      </c>
      <c r="D26" s="9" t="s">
        <v>16</v>
      </c>
      <c r="E26" s="9" t="s">
        <v>13</v>
      </c>
      <c r="F26" s="9" t="s">
        <v>18</v>
      </c>
      <c r="G26" s="9">
        <v>2</v>
      </c>
      <c r="H26" s="10">
        <v>1620.95</v>
      </c>
      <c r="I26" s="10">
        <f t="shared" si="0"/>
        <v>32.419000000000004</v>
      </c>
      <c r="J26" s="10">
        <v>1880.31</v>
      </c>
    </row>
    <row r="27" spans="1:10" x14ac:dyDescent="0.3">
      <c r="A27" s="8">
        <v>45838</v>
      </c>
      <c r="B27" s="9" t="s">
        <v>10</v>
      </c>
      <c r="C27" s="9" t="s">
        <v>19</v>
      </c>
      <c r="D27" s="9" t="s">
        <v>20</v>
      </c>
      <c r="E27" s="9" t="s">
        <v>13</v>
      </c>
      <c r="F27" s="9" t="s">
        <v>21</v>
      </c>
      <c r="G27" s="9">
        <v>2</v>
      </c>
      <c r="H27" s="10">
        <v>129753</v>
      </c>
      <c r="I27" s="10">
        <f t="shared" si="0"/>
        <v>2595.06</v>
      </c>
      <c r="J27" s="10">
        <v>150513.48000000001</v>
      </c>
    </row>
    <row r="28" spans="1:10" x14ac:dyDescent="0.3">
      <c r="A28" s="8">
        <v>45838</v>
      </c>
      <c r="B28" s="9" t="s">
        <v>26</v>
      </c>
      <c r="C28" s="9" t="s">
        <v>30</v>
      </c>
      <c r="D28" s="9" t="s">
        <v>31</v>
      </c>
      <c r="E28" s="9" t="s">
        <v>9</v>
      </c>
      <c r="F28" s="9" t="s">
        <v>32</v>
      </c>
      <c r="G28" s="9">
        <v>1</v>
      </c>
      <c r="H28" s="10">
        <v>32000</v>
      </c>
      <c r="I28" s="10">
        <f t="shared" si="0"/>
        <v>320</v>
      </c>
      <c r="J28" s="10">
        <v>37440</v>
      </c>
    </row>
    <row r="29" spans="1:10" x14ac:dyDescent="0.3">
      <c r="A29" s="12" t="s">
        <v>68</v>
      </c>
      <c r="B29" s="13"/>
      <c r="C29" s="13"/>
      <c r="D29" s="13"/>
      <c r="E29" s="13"/>
      <c r="F29" s="13"/>
      <c r="G29" s="14"/>
      <c r="H29" s="6">
        <f t="shared" ref="H29:I29" si="1">SUM(H3:H28)</f>
        <v>6177653.6799999997</v>
      </c>
      <c r="I29" s="6">
        <f t="shared" si="1"/>
        <v>78824.203399999999</v>
      </c>
      <c r="J29" s="6">
        <f>SUM(J3:J28)</f>
        <v>7188913.1499999994</v>
      </c>
    </row>
  </sheetData>
  <autoFilter ref="A2:J29" xr:uid="{00000000-0001-0000-0000-000000000000}">
    <sortState xmlns:xlrd2="http://schemas.microsoft.com/office/spreadsheetml/2017/richdata2" ref="A3:J29">
      <sortCondition ref="A2:A29"/>
    </sortState>
  </autoFilter>
  <mergeCells count="1">
    <mergeCell ref="A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executiveadmin@bbell.in</cp:lastModifiedBy>
  <dcterms:created xsi:type="dcterms:W3CDTF">2025-07-03T07:09:13Z</dcterms:created>
  <dcterms:modified xsi:type="dcterms:W3CDTF">2025-07-04T11:47:57Z</dcterms:modified>
</cp:coreProperties>
</file>