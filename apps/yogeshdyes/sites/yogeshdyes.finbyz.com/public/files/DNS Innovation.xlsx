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ell-4\Desktop\"/>
    </mc:Choice>
  </mc:AlternateContent>
  <xr:revisionPtr revIDLastSave="0" documentId="13_ncr:1_{CF11A904-B55D-406D-90C9-5D98A93B5D96}" xr6:coauthVersionLast="47" xr6:coauthVersionMax="47" xr10:uidLastSave="{00000000-0000-0000-0000-000000000000}"/>
  <bookViews>
    <workbookView xWindow="-108" yWindow="-108" windowWidth="23256" windowHeight="13896" xr2:uid="{FBBB91EB-793F-4512-A476-7EB6B3918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B18" i="1"/>
  <c r="B12" i="1" l="1"/>
  <c r="K17" i="1"/>
  <c r="L12" i="1"/>
  <c r="L10" i="1" l="1"/>
  <c r="L9" i="1"/>
  <c r="L8" i="1"/>
  <c r="L7" i="1"/>
  <c r="L6" i="1"/>
  <c r="L5" i="1"/>
  <c r="J15" i="1"/>
  <c r="J14" i="1"/>
  <c r="G12" i="1"/>
  <c r="F12" i="1"/>
  <c r="C12" i="1"/>
  <c r="H7" i="1"/>
  <c r="H15" i="1" s="1"/>
  <c r="G7" i="1"/>
  <c r="G15" i="1" s="1"/>
  <c r="F7" i="1"/>
  <c r="F15" i="1" s="1"/>
  <c r="E7" i="1"/>
  <c r="D7" i="1"/>
  <c r="D15" i="1" s="1"/>
  <c r="C7" i="1"/>
  <c r="C15" i="1" s="1"/>
  <c r="B7" i="1"/>
  <c r="B15" i="1" s="1"/>
  <c r="G6" i="1"/>
  <c r="H6" i="1"/>
  <c r="F6" i="1"/>
  <c r="E6" i="1"/>
  <c r="D6" i="1"/>
  <c r="C6" i="1"/>
  <c r="B6" i="1"/>
  <c r="J1" i="1"/>
  <c r="H3" i="1"/>
  <c r="H2" i="1"/>
  <c r="H5" i="1" s="1"/>
  <c r="H8" i="1" s="1"/>
  <c r="H9" i="1" s="1"/>
  <c r="G3" i="1"/>
  <c r="G2" i="1"/>
  <c r="G5" i="1" s="1"/>
  <c r="G8" i="1" s="1"/>
  <c r="G9" i="1" s="1"/>
  <c r="F3" i="1"/>
  <c r="F2" i="1"/>
  <c r="E3" i="1"/>
  <c r="E2" i="1"/>
  <c r="E5" i="1" s="1"/>
  <c r="E8" i="1" s="1"/>
  <c r="D3" i="1"/>
  <c r="D2" i="1"/>
  <c r="C3" i="1"/>
  <c r="C2" i="1"/>
  <c r="B3" i="1"/>
  <c r="B2" i="1"/>
  <c r="B5" i="1" s="1"/>
  <c r="J7" i="1" l="1"/>
  <c r="E9" i="1"/>
  <c r="B8" i="1"/>
  <c r="F5" i="1"/>
  <c r="F8" i="1" s="1"/>
  <c r="F9" i="1" s="1"/>
  <c r="B9" i="1"/>
  <c r="C5" i="1"/>
  <c r="C8" i="1" s="1"/>
  <c r="C9" i="1" s="1"/>
  <c r="E15" i="1"/>
  <c r="D5" i="1"/>
  <c r="D8" i="1" s="1"/>
  <c r="D9" i="1" s="1"/>
  <c r="J5" i="1"/>
  <c r="J2" i="1"/>
  <c r="J3" i="1"/>
  <c r="J6" i="1"/>
  <c r="C11" i="1" l="1"/>
  <c r="J8" i="1"/>
  <c r="J9" i="1"/>
</calcChain>
</file>

<file path=xl/sharedStrings.xml><?xml version="1.0" encoding="utf-8"?>
<sst xmlns="http://schemas.openxmlformats.org/spreadsheetml/2006/main" count="9" uniqueCount="9">
  <si>
    <t>Basic Amount</t>
  </si>
  <si>
    <t>CGST 9%</t>
  </si>
  <si>
    <t>SGST 9%</t>
  </si>
  <si>
    <t>Invoice Amount</t>
  </si>
  <si>
    <t>Retention Amount</t>
  </si>
  <si>
    <t>Paid Amount</t>
  </si>
  <si>
    <t>TDS Amount</t>
  </si>
  <si>
    <t>Invoice Amount After Retention</t>
  </si>
  <si>
    <t>Invoice Amount After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</si>
</sst>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667C-6EF4-466A-A959-0174A38E315B}">
  <dimension ref="A1:L24"/>
  <sheetViews>
    <sheetView tabSelected="1" workbookViewId="0">
      <selection activeCell="B24" sqref="B24"/>
    </sheetView>
  </sheetViews>
  <sheetFormatPr defaultRowHeight="15.6" x14ac:dyDescent="0.3"/>
  <cols>
    <col min="1" max="1" width="28" bestFit="1" customWidth="1"/>
    <col min="2" max="2" width="11.3984375" style="1" bestFit="1" customWidth="1"/>
    <col min="3" max="4" width="12" style="1" bestFit="1" customWidth="1"/>
    <col min="5" max="5" width="11" style="1" bestFit="1" customWidth="1"/>
    <col min="6" max="6" width="12.3984375" style="1" bestFit="1" customWidth="1"/>
    <col min="7" max="8" width="12" style="1" bestFit="1" customWidth="1"/>
    <col min="9" max="9" width="17.3984375" style="1" bestFit="1" customWidth="1"/>
    <col min="10" max="10" width="12.3984375" style="1" bestFit="1" customWidth="1"/>
    <col min="11" max="12" width="9.8984375" bestFit="1" customWidth="1"/>
  </cols>
  <sheetData>
    <row r="1" spans="1:12" x14ac:dyDescent="0.3">
      <c r="A1" t="s">
        <v>0</v>
      </c>
      <c r="B1" s="1">
        <v>481869</v>
      </c>
      <c r="C1" s="1">
        <v>358762.94</v>
      </c>
      <c r="D1" s="1">
        <v>403568.21</v>
      </c>
      <c r="E1" s="1">
        <v>67132.39</v>
      </c>
      <c r="F1" s="1">
        <v>1130429.45</v>
      </c>
      <c r="G1" s="1">
        <v>826499.18</v>
      </c>
      <c r="H1" s="1">
        <v>209641.65</v>
      </c>
      <c r="J1" s="1">
        <f t="shared" ref="J1:J3" si="0">SUM(B1:I1)</f>
        <v>3477902.82</v>
      </c>
    </row>
    <row r="2" spans="1:12" x14ac:dyDescent="0.3">
      <c r="A2" t="s">
        <v>1</v>
      </c>
      <c r="B2" s="1">
        <f t="shared" ref="B2:H2" si="1">B1*9%</f>
        <v>43368.21</v>
      </c>
      <c r="C2" s="1">
        <f t="shared" si="1"/>
        <v>32288.6646</v>
      </c>
      <c r="D2" s="1">
        <f t="shared" si="1"/>
        <v>36321.138899999998</v>
      </c>
      <c r="E2" s="1">
        <f t="shared" si="1"/>
        <v>6041.9151000000002</v>
      </c>
      <c r="F2" s="1">
        <f t="shared" si="1"/>
        <v>101738.65049999999</v>
      </c>
      <c r="G2" s="1">
        <f t="shared" si="1"/>
        <v>74384.926200000002</v>
      </c>
      <c r="H2" s="1">
        <f t="shared" si="1"/>
        <v>18867.748499999998</v>
      </c>
      <c r="J2" s="1">
        <f t="shared" si="0"/>
        <v>313011.25379999995</v>
      </c>
    </row>
    <row r="3" spans="1:12" x14ac:dyDescent="0.3">
      <c r="A3" t="s">
        <v>2</v>
      </c>
      <c r="B3" s="1">
        <f t="shared" ref="B3:H3" si="2">B1*9%</f>
        <v>43368.21</v>
      </c>
      <c r="C3" s="1">
        <f t="shared" si="2"/>
        <v>32288.6646</v>
      </c>
      <c r="D3" s="1">
        <f t="shared" si="2"/>
        <v>36321.138899999998</v>
      </c>
      <c r="E3" s="1">
        <f t="shared" si="2"/>
        <v>6041.9151000000002</v>
      </c>
      <c r="F3" s="1">
        <f t="shared" si="2"/>
        <v>101738.65049999999</v>
      </c>
      <c r="G3" s="1">
        <f t="shared" si="2"/>
        <v>74384.926200000002</v>
      </c>
      <c r="H3" s="1">
        <f t="shared" si="2"/>
        <v>18867.748499999998</v>
      </c>
      <c r="J3" s="1">
        <f t="shared" si="0"/>
        <v>313011.25379999995</v>
      </c>
    </row>
    <row r="5" spans="1:12" x14ac:dyDescent="0.3">
      <c r="A5" t="s">
        <v>3</v>
      </c>
      <c r="B5" s="6">
        <f t="shared" ref="B5:H5" si="3">SUM(B1:B4)</f>
        <v>568605.41999999993</v>
      </c>
      <c r="C5" s="6">
        <f t="shared" si="3"/>
        <v>423340.26920000004</v>
      </c>
      <c r="D5" s="6">
        <f t="shared" si="3"/>
        <v>476210.48780000006</v>
      </c>
      <c r="E5" s="6">
        <f t="shared" si="3"/>
        <v>79216.220199999996</v>
      </c>
      <c r="F5" s="1">
        <f t="shared" si="3"/>
        <v>1333906.7509999999</v>
      </c>
      <c r="G5" s="1">
        <f t="shared" si="3"/>
        <v>975269.03240000003</v>
      </c>
      <c r="H5" s="1">
        <f t="shared" si="3"/>
        <v>247377.14699999997</v>
      </c>
      <c r="J5" s="1">
        <f>SUM(B5:I5)</f>
        <v>4103925.3275999995</v>
      </c>
      <c r="L5" s="3">
        <f>J5-J7</f>
        <v>4034367.2711999994</v>
      </c>
    </row>
    <row r="6" spans="1:12" x14ac:dyDescent="0.3">
      <c r="A6" t="s">
        <v>4</v>
      </c>
      <c r="B6" s="1">
        <f>B1*5%</f>
        <v>24093.45</v>
      </c>
      <c r="C6" s="1">
        <f t="shared" ref="C6:H6" si="4">C1*5%</f>
        <v>17938.147000000001</v>
      </c>
      <c r="D6" s="1">
        <f t="shared" si="4"/>
        <v>20178.410500000002</v>
      </c>
      <c r="E6" s="1">
        <f t="shared" si="4"/>
        <v>3356.6195000000002</v>
      </c>
      <c r="F6" s="1">
        <f t="shared" si="4"/>
        <v>56521.472500000003</v>
      </c>
      <c r="G6" s="1">
        <f t="shared" si="4"/>
        <v>41324.959000000003</v>
      </c>
      <c r="H6" s="1">
        <f t="shared" si="4"/>
        <v>10482.0825</v>
      </c>
      <c r="J6" s="1">
        <f>SUM(B6:I6)</f>
        <v>173895.141</v>
      </c>
      <c r="L6" s="3">
        <f>B10+C10+F10</f>
        <v>2356294</v>
      </c>
    </row>
    <row r="7" spans="1:12" x14ac:dyDescent="0.3">
      <c r="A7" t="s">
        <v>6</v>
      </c>
      <c r="B7" s="1">
        <f>B1*2%</f>
        <v>9637.380000000001</v>
      </c>
      <c r="C7" s="1">
        <f t="shared" ref="C7:H7" si="5">C1*2%</f>
        <v>7175.2588000000005</v>
      </c>
      <c r="D7" s="1">
        <f t="shared" si="5"/>
        <v>8071.3642000000009</v>
      </c>
      <c r="E7" s="1">
        <f t="shared" si="5"/>
        <v>1342.6478</v>
      </c>
      <c r="F7" s="1">
        <f t="shared" si="5"/>
        <v>22608.589</v>
      </c>
      <c r="G7" s="1">
        <f t="shared" si="5"/>
        <v>16529.9836</v>
      </c>
      <c r="H7" s="1">
        <f t="shared" si="5"/>
        <v>4192.8329999999996</v>
      </c>
      <c r="J7" s="1">
        <f>SUM(B7:I7)</f>
        <v>69558.056400000001</v>
      </c>
      <c r="L7" s="3">
        <f>L5-L6</f>
        <v>1678073.2711999994</v>
      </c>
    </row>
    <row r="8" spans="1:12" x14ac:dyDescent="0.3">
      <c r="A8" t="s">
        <v>7</v>
      </c>
      <c r="B8" s="1">
        <f>B5-B6</f>
        <v>544511.97</v>
      </c>
      <c r="C8" s="1">
        <f t="shared" ref="C8:H8" si="6">C5-C6</f>
        <v>405402.12220000004</v>
      </c>
      <c r="D8" s="1">
        <f t="shared" si="6"/>
        <v>456032.07730000006</v>
      </c>
      <c r="E8" s="1">
        <f t="shared" si="6"/>
        <v>75859.600699999995</v>
      </c>
      <c r="F8" s="1">
        <f t="shared" si="6"/>
        <v>1277385.2785</v>
      </c>
      <c r="G8" s="1">
        <f t="shared" si="6"/>
        <v>933944.07339999999</v>
      </c>
      <c r="H8" s="1">
        <f t="shared" si="6"/>
        <v>236895.06449999998</v>
      </c>
      <c r="J8" s="1">
        <f>SUM(B8:I8)</f>
        <v>3930030.1866000001</v>
      </c>
      <c r="L8" s="3">
        <f>G5-G7</f>
        <v>958739.04879999999</v>
      </c>
    </row>
    <row r="9" spans="1:12" x14ac:dyDescent="0.3">
      <c r="A9" t="s">
        <v>8</v>
      </c>
      <c r="B9" s="1">
        <f>B8-B7</f>
        <v>534874.59</v>
      </c>
      <c r="C9" s="1">
        <f t="shared" ref="C9:H9" si="7">C8-C7</f>
        <v>398226.86340000003</v>
      </c>
      <c r="D9" s="1">
        <f t="shared" si="7"/>
        <v>447960.71310000005</v>
      </c>
      <c r="E9" s="1">
        <f t="shared" si="7"/>
        <v>74516.952899999989</v>
      </c>
      <c r="F9" s="1">
        <f t="shared" si="7"/>
        <v>1254776.6895000001</v>
      </c>
      <c r="G9" s="1">
        <f t="shared" si="7"/>
        <v>917414.08979999996</v>
      </c>
      <c r="H9" s="1">
        <f t="shared" si="7"/>
        <v>232702.23149999997</v>
      </c>
      <c r="J9" s="1">
        <f>SUM(B9:I9)</f>
        <v>3860472.1301999995</v>
      </c>
      <c r="L9" s="3">
        <f>L7-L8</f>
        <v>719334.22239999939</v>
      </c>
    </row>
    <row r="10" spans="1:12" x14ac:dyDescent="0.3">
      <c r="A10" t="s">
        <v>5</v>
      </c>
      <c r="B10" s="1">
        <v>534875</v>
      </c>
      <c r="C10" s="4">
        <v>921419</v>
      </c>
      <c r="D10" s="4"/>
      <c r="E10" s="4"/>
      <c r="F10" s="1">
        <v>900000</v>
      </c>
      <c r="G10" s="1">
        <v>0</v>
      </c>
      <c r="L10" s="3">
        <f>L9-B6-C6-D6-E6-F6-H6</f>
        <v>586764.04039999936</v>
      </c>
    </row>
    <row r="11" spans="1:12" x14ac:dyDescent="0.3">
      <c r="C11" s="5">
        <f>C9+D9+E9</f>
        <v>920704.52940000012</v>
      </c>
      <c r="D11" s="5"/>
      <c r="E11" s="5"/>
      <c r="L11">
        <v>539097</v>
      </c>
    </row>
    <row r="12" spans="1:12" x14ac:dyDescent="0.3">
      <c r="B12" s="1">
        <f>C5-C14</f>
        <v>416474.28920000006</v>
      </c>
      <c r="C12" s="5">
        <f>C10-C11</f>
        <v>714.47059999988414</v>
      </c>
      <c r="D12" s="5"/>
      <c r="E12" s="5"/>
      <c r="F12" s="1">
        <f>F5-F10</f>
        <v>433906.75099999993</v>
      </c>
      <c r="G12" s="1">
        <f>G5-G10</f>
        <v>975269.03240000003</v>
      </c>
      <c r="L12" s="3">
        <f>L10-L11</f>
        <v>47667.040399999358</v>
      </c>
    </row>
    <row r="13" spans="1:12" x14ac:dyDescent="0.3">
      <c r="C13" s="2"/>
      <c r="D13" s="2"/>
      <c r="E13" s="2"/>
    </row>
    <row r="14" spans="1:12" x14ac:dyDescent="0.3">
      <c r="B14" s="1">
        <v>9637.380000000001</v>
      </c>
      <c r="C14" s="1">
        <v>6865.98</v>
      </c>
      <c r="D14" s="1">
        <v>7723.47</v>
      </c>
      <c r="E14" s="1">
        <v>1284.77</v>
      </c>
      <c r="F14" s="1">
        <v>22608.59</v>
      </c>
      <c r="G14" s="1">
        <v>16529.98</v>
      </c>
      <c r="H14" s="1">
        <v>4192.83</v>
      </c>
      <c r="J14" s="1">
        <f t="shared" ref="J14:J15" si="8">SUM(B14:I14)</f>
        <v>68843</v>
      </c>
    </row>
    <row r="15" spans="1:12" x14ac:dyDescent="0.3">
      <c r="B15" s="1">
        <f>B7-B14</f>
        <v>0</v>
      </c>
      <c r="C15" s="1">
        <f t="shared" ref="C15:H15" si="9">C7-C14</f>
        <v>309.27880000000096</v>
      </c>
      <c r="D15" s="1">
        <f t="shared" si="9"/>
        <v>347.89420000000064</v>
      </c>
      <c r="E15" s="1">
        <f t="shared" si="9"/>
        <v>57.877799999999979</v>
      </c>
      <c r="F15" s="1">
        <f t="shared" si="9"/>
        <v>-1.0000000002037268E-3</v>
      </c>
      <c r="G15" s="1">
        <f t="shared" si="9"/>
        <v>3.6000000000058208E-3</v>
      </c>
      <c r="H15" s="1">
        <f t="shared" si="9"/>
        <v>2.9999999997016857E-3</v>
      </c>
      <c r="J15" s="1">
        <f t="shared" si="8"/>
        <v>715.05640000000108</v>
      </c>
    </row>
    <row r="17" spans="2:11" x14ac:dyDescent="0.3">
      <c r="K17" s="3">
        <f>J9-B10-C10-F10-G9</f>
        <v>586764.04039999959</v>
      </c>
    </row>
    <row r="18" spans="2:11" x14ac:dyDescent="0.3">
      <c r="B18" s="1">
        <f>SUM(B5:H5)</f>
        <v>4103925.3275999995</v>
      </c>
    </row>
    <row r="19" spans="2:11" x14ac:dyDescent="0.3">
      <c r="B19" s="1">
        <f>SUM(B14:H14)</f>
        <v>68843</v>
      </c>
    </row>
    <row r="20" spans="2:11" x14ac:dyDescent="0.3">
      <c r="B20" s="1">
        <f>SUM(B6:H6)</f>
        <v>173895.141</v>
      </c>
    </row>
    <row r="21" spans="2:11" x14ac:dyDescent="0.3">
      <c r="B21" s="1">
        <f>SUM(B10:F10)+539097</f>
        <v>2895391</v>
      </c>
    </row>
    <row r="22" spans="2:11" x14ac:dyDescent="0.3">
      <c r="B22" s="1">
        <f>B18-B19-B21</f>
        <v>1139691.3275999995</v>
      </c>
    </row>
    <row r="23" spans="2:11" x14ac:dyDescent="0.3">
      <c r="B23" s="1">
        <f>971414+173895</f>
        <v>1145309</v>
      </c>
    </row>
    <row r="24" spans="2:11" x14ac:dyDescent="0.3">
      <c r="B24" s="1">
        <f>B23-B22</f>
        <v>5617.6724000005051</v>
      </c>
    </row>
  </sheetData>
  <mergeCells count="3">
    <mergeCell ref="C10:E10"/>
    <mergeCell ref="C11:E11"/>
    <mergeCell ref="C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Puria</dc:creator>
  <cp:lastModifiedBy>Ravi Puria</cp:lastModifiedBy>
  <dcterms:created xsi:type="dcterms:W3CDTF">2025-10-11T04:22:33Z</dcterms:created>
  <dcterms:modified xsi:type="dcterms:W3CDTF">2025-10-11T10:10:52Z</dcterms:modified>
</cp:coreProperties>
</file>